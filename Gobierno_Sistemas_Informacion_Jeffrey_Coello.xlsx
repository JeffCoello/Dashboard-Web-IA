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coello\Downloads\"/>
    </mc:Choice>
  </mc:AlternateContent>
  <xr:revisionPtr revIDLastSave="0" documentId="13_ncr:1_{8BAE1FD0-3CB3-4B48-8DCC-D24FFC61965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Resumen_Gobierno_TI" sheetId="1" r:id="rId1"/>
    <sheet name="Riesgos_TI" sheetId="2" r:id="rId2"/>
    <sheet name="Incidentes_Servicios_TI" sheetId="3" r:id="rId3"/>
    <sheet name="Auditorias_TI" sheetId="4" r:id="rId4"/>
    <sheet name="Disponibilidad_Sistemas" sheetId="5" r:id="rId5"/>
    <sheet name="Proyectos_TI" sheetId="6" r:id="rId6"/>
    <sheet name="Indicadores_KPI" sheetId="7" r:id="rId7"/>
    <sheet name="Diccionario_Datos" sheetId="8" r:id="rId8"/>
    <sheet name="Recomendaciones_Dashboard" sheetId="9" r:id="rId9"/>
    <sheet name="Vista_Ejecutiva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0" l="1"/>
  <c r="D28" i="10"/>
  <c r="C28" i="10"/>
  <c r="B28" i="10"/>
  <c r="A28" i="10"/>
  <c r="E27" i="10"/>
  <c r="D27" i="10"/>
  <c r="C27" i="10"/>
  <c r="B27" i="10"/>
  <c r="A27" i="10"/>
  <c r="E26" i="10"/>
  <c r="D26" i="10"/>
  <c r="C26" i="10"/>
  <c r="B26" i="10"/>
  <c r="A26" i="10"/>
  <c r="E25" i="10"/>
  <c r="D25" i="10"/>
  <c r="C25" i="10"/>
  <c r="B25" i="10"/>
  <c r="A25" i="10"/>
  <c r="E24" i="10"/>
  <c r="D24" i="10"/>
  <c r="C24" i="10"/>
  <c r="B24" i="10"/>
  <c r="A24" i="10"/>
  <c r="E23" i="10"/>
  <c r="D23" i="10"/>
  <c r="C23" i="10"/>
  <c r="B23" i="10"/>
  <c r="A23" i="10"/>
  <c r="E22" i="10"/>
  <c r="D22" i="10"/>
  <c r="C22" i="10"/>
  <c r="B22" i="10"/>
  <c r="A22" i="10"/>
  <c r="E21" i="10"/>
  <c r="D21" i="10"/>
  <c r="C21" i="10"/>
  <c r="B21" i="10"/>
  <c r="A21" i="10"/>
  <c r="E20" i="10"/>
  <c r="D20" i="10"/>
  <c r="C20" i="10"/>
  <c r="B20" i="10"/>
  <c r="A20" i="10"/>
  <c r="E19" i="10"/>
  <c r="D19" i="10"/>
  <c r="C19" i="10"/>
  <c r="B19" i="10"/>
  <c r="A19" i="10"/>
  <c r="E18" i="10"/>
  <c r="D18" i="10"/>
  <c r="C18" i="10"/>
  <c r="B18" i="10"/>
  <c r="A18" i="10"/>
  <c r="E17" i="10"/>
  <c r="D17" i="10"/>
  <c r="C17" i="10"/>
  <c r="B17" i="10"/>
  <c r="A17" i="10"/>
  <c r="F14" i="7"/>
  <c r="E14" i="7"/>
  <c r="J11" i="10" s="1"/>
  <c r="E13" i="7"/>
  <c r="F13" i="7" s="1"/>
  <c r="E12" i="7"/>
  <c r="F12" i="7" s="1"/>
  <c r="E11" i="7"/>
  <c r="F11" i="7" s="1"/>
  <c r="E10" i="7"/>
  <c r="G11" i="10" s="1"/>
  <c r="E7" i="7"/>
  <c r="D11" i="10" s="1"/>
  <c r="E5" i="7"/>
  <c r="F5" i="7" s="1"/>
  <c r="E4" i="7"/>
  <c r="F4" i="7" s="1"/>
  <c r="E3" i="7"/>
  <c r="D6" i="10" s="1"/>
  <c r="E2" i="7"/>
  <c r="A6" i="10" s="1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73" i="5"/>
  <c r="H73" i="5" s="1"/>
  <c r="E72" i="5"/>
  <c r="H72" i="5" s="1"/>
  <c r="E71" i="5"/>
  <c r="H71" i="5" s="1"/>
  <c r="E70" i="5"/>
  <c r="H70" i="5" s="1"/>
  <c r="E69" i="5"/>
  <c r="H69" i="5" s="1"/>
  <c r="E68" i="5"/>
  <c r="H68" i="5" s="1"/>
  <c r="E67" i="5"/>
  <c r="H67" i="5" s="1"/>
  <c r="E66" i="5"/>
  <c r="H66" i="5" s="1"/>
  <c r="E65" i="5"/>
  <c r="H65" i="5" s="1"/>
  <c r="E64" i="5"/>
  <c r="H64" i="5" s="1"/>
  <c r="E63" i="5"/>
  <c r="H63" i="5" s="1"/>
  <c r="E62" i="5"/>
  <c r="H62" i="5" s="1"/>
  <c r="E61" i="5"/>
  <c r="H61" i="5" s="1"/>
  <c r="E60" i="5"/>
  <c r="H60" i="5" s="1"/>
  <c r="E59" i="5"/>
  <c r="H59" i="5" s="1"/>
  <c r="E58" i="5"/>
  <c r="H58" i="5" s="1"/>
  <c r="E57" i="5"/>
  <c r="H57" i="5" s="1"/>
  <c r="E56" i="5"/>
  <c r="H56" i="5" s="1"/>
  <c r="E55" i="5"/>
  <c r="H55" i="5" s="1"/>
  <c r="E54" i="5"/>
  <c r="H54" i="5" s="1"/>
  <c r="E53" i="5"/>
  <c r="H53" i="5" s="1"/>
  <c r="E52" i="5"/>
  <c r="H52" i="5" s="1"/>
  <c r="E51" i="5"/>
  <c r="H51" i="5" s="1"/>
  <c r="E50" i="5"/>
  <c r="H50" i="5" s="1"/>
  <c r="E49" i="5"/>
  <c r="H49" i="5" s="1"/>
  <c r="E48" i="5"/>
  <c r="H48" i="5" s="1"/>
  <c r="E47" i="5"/>
  <c r="H47" i="5" s="1"/>
  <c r="E46" i="5"/>
  <c r="H46" i="5" s="1"/>
  <c r="E45" i="5"/>
  <c r="H45" i="5" s="1"/>
  <c r="E44" i="5"/>
  <c r="H44" i="5" s="1"/>
  <c r="E43" i="5"/>
  <c r="H43" i="5" s="1"/>
  <c r="E42" i="5"/>
  <c r="H42" i="5" s="1"/>
  <c r="E41" i="5"/>
  <c r="H41" i="5" s="1"/>
  <c r="E40" i="5"/>
  <c r="H40" i="5" s="1"/>
  <c r="E39" i="5"/>
  <c r="H39" i="5" s="1"/>
  <c r="E38" i="5"/>
  <c r="H38" i="5" s="1"/>
  <c r="E37" i="5"/>
  <c r="H37" i="5" s="1"/>
  <c r="E36" i="5"/>
  <c r="H36" i="5" s="1"/>
  <c r="E35" i="5"/>
  <c r="H35" i="5" s="1"/>
  <c r="E34" i="5"/>
  <c r="H34" i="5" s="1"/>
  <c r="E33" i="5"/>
  <c r="H33" i="5" s="1"/>
  <c r="E32" i="5"/>
  <c r="H32" i="5" s="1"/>
  <c r="E31" i="5"/>
  <c r="H31" i="5" s="1"/>
  <c r="E30" i="5"/>
  <c r="H30" i="5" s="1"/>
  <c r="E29" i="5"/>
  <c r="H29" i="5" s="1"/>
  <c r="E28" i="5"/>
  <c r="H28" i="5" s="1"/>
  <c r="E27" i="5"/>
  <c r="H27" i="5" s="1"/>
  <c r="E26" i="5"/>
  <c r="H26" i="5" s="1"/>
  <c r="E25" i="5"/>
  <c r="H25" i="5" s="1"/>
  <c r="E24" i="5"/>
  <c r="H24" i="5" s="1"/>
  <c r="E23" i="5"/>
  <c r="H23" i="5" s="1"/>
  <c r="E22" i="5"/>
  <c r="H22" i="5" s="1"/>
  <c r="E21" i="5"/>
  <c r="H21" i="5" s="1"/>
  <c r="E20" i="5"/>
  <c r="H20" i="5" s="1"/>
  <c r="E19" i="5"/>
  <c r="H19" i="5" s="1"/>
  <c r="E18" i="5"/>
  <c r="H18" i="5" s="1"/>
  <c r="E17" i="5"/>
  <c r="H17" i="5" s="1"/>
  <c r="E16" i="5"/>
  <c r="H16" i="5" s="1"/>
  <c r="E15" i="5"/>
  <c r="H15" i="5" s="1"/>
  <c r="E14" i="5"/>
  <c r="H14" i="5" s="1"/>
  <c r="E13" i="5"/>
  <c r="H13" i="5" s="1"/>
  <c r="E12" i="5"/>
  <c r="H12" i="5" s="1"/>
  <c r="E11" i="5"/>
  <c r="H11" i="5" s="1"/>
  <c r="E10" i="5"/>
  <c r="H10" i="5" s="1"/>
  <c r="E9" i="5"/>
  <c r="H9" i="5" s="1"/>
  <c r="E8" i="5"/>
  <c r="H8" i="5" s="1"/>
  <c r="E7" i="5"/>
  <c r="H7" i="5" s="1"/>
  <c r="E6" i="5"/>
  <c r="H6" i="5" s="1"/>
  <c r="E5" i="5"/>
  <c r="H5" i="5" s="1"/>
  <c r="E4" i="5"/>
  <c r="H4" i="5" s="1"/>
  <c r="E3" i="5"/>
  <c r="H3" i="5" s="1"/>
  <c r="E2" i="5"/>
  <c r="H2" i="5" s="1"/>
  <c r="E9" i="7" s="1"/>
  <c r="F9" i="7" s="1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K37" i="2"/>
  <c r="F37" i="2"/>
  <c r="K36" i="2"/>
  <c r="F36" i="2" s="1"/>
  <c r="K35" i="2"/>
  <c r="F35" i="2"/>
  <c r="K34" i="2"/>
  <c r="F34" i="2"/>
  <c r="K33" i="2"/>
  <c r="F33" i="2"/>
  <c r="K32" i="2"/>
  <c r="F32" i="2"/>
  <c r="K31" i="2"/>
  <c r="F31" i="2"/>
  <c r="K30" i="2"/>
  <c r="F30" i="2" s="1"/>
  <c r="K29" i="2"/>
  <c r="F29" i="2"/>
  <c r="K28" i="2"/>
  <c r="F28" i="2"/>
  <c r="K27" i="2"/>
  <c r="F27" i="2"/>
  <c r="K26" i="2"/>
  <c r="F26" i="2"/>
  <c r="K25" i="2"/>
  <c r="F25" i="2"/>
  <c r="K24" i="2"/>
  <c r="F24" i="2" s="1"/>
  <c r="K23" i="2"/>
  <c r="F23" i="2"/>
  <c r="K22" i="2"/>
  <c r="F22" i="2"/>
  <c r="K21" i="2"/>
  <c r="F21" i="2"/>
  <c r="K20" i="2"/>
  <c r="F20" i="2"/>
  <c r="K19" i="2"/>
  <c r="F19" i="2"/>
  <c r="K18" i="2"/>
  <c r="F18" i="2" s="1"/>
  <c r="K17" i="2"/>
  <c r="F17" i="2"/>
  <c r="K16" i="2"/>
  <c r="F16" i="2"/>
  <c r="K15" i="2"/>
  <c r="F15" i="2"/>
  <c r="K14" i="2"/>
  <c r="F14" i="2"/>
  <c r="K13" i="2"/>
  <c r="F13" i="2"/>
  <c r="K12" i="2"/>
  <c r="F12" i="2" s="1"/>
  <c r="K11" i="2"/>
  <c r="F11" i="2"/>
  <c r="K10" i="2"/>
  <c r="F10" i="2"/>
  <c r="K9" i="2"/>
  <c r="F9" i="2"/>
  <c r="K8" i="2"/>
  <c r="F8" i="2"/>
  <c r="K7" i="2"/>
  <c r="F7" i="2"/>
  <c r="K6" i="2"/>
  <c r="F6" i="2" s="1"/>
  <c r="E6" i="7" s="1"/>
  <c r="K5" i="2"/>
  <c r="F5" i="2"/>
  <c r="K4" i="2"/>
  <c r="F4" i="2"/>
  <c r="K3" i="2"/>
  <c r="F3" i="2"/>
  <c r="K2" i="2"/>
  <c r="F2" i="2"/>
  <c r="H13" i="1"/>
  <c r="H12" i="1"/>
  <c r="H11" i="1"/>
  <c r="H10" i="1"/>
  <c r="H9" i="1"/>
  <c r="H8" i="1"/>
  <c r="H7" i="1"/>
  <c r="H6" i="1"/>
  <c r="H5" i="1"/>
  <c r="H4" i="1"/>
  <c r="H3" i="1"/>
  <c r="H2" i="1"/>
  <c r="F6" i="7" l="1"/>
  <c r="G6" i="10"/>
  <c r="F7" i="7"/>
  <c r="E8" i="7"/>
  <c r="F2" i="7"/>
  <c r="F3" i="7"/>
  <c r="F10" i="7"/>
  <c r="A11" i="10"/>
  <c r="J6" i="10" l="1"/>
  <c r="F8" i="7"/>
</calcChain>
</file>

<file path=xl/sharedStrings.xml><?xml version="1.0" encoding="utf-8"?>
<sst xmlns="http://schemas.openxmlformats.org/spreadsheetml/2006/main" count="1799" uniqueCount="676">
  <si>
    <t>Mes</t>
  </si>
  <si>
    <t>Año</t>
  </si>
  <si>
    <t>Área responsable</t>
  </si>
  <si>
    <t>Nivel de madurez de gobierno de TI</t>
  </si>
  <si>
    <t>Porcentaje de cumplimiento de políticas</t>
  </si>
  <si>
    <t>Porcentaje de cumplimiento normativo</t>
  </si>
  <si>
    <t>Índice de satisfacción de usuarios</t>
  </si>
  <si>
    <t>Estado general del gobierno de TI</t>
  </si>
  <si>
    <t>Enero</t>
  </si>
  <si>
    <t>Oficina de Gobierno TI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</si>
  <si>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</si>
  <si>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</si>
  <si>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</si>
  <si>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</si>
  <si>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</si>
  <si>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</si>
  <si>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</si>
  <si>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</si>
  <si>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</si>
  <si>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</si>
  <si>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</si>
  <si>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ID del riesgo</t>
  </si>
  <si>
    <t>Categoría del riesgo</t>
  </si>
  <si>
    <t>Descripción del riesgo</t>
  </si>
  <si>
    <t>Probabilidad (1-5)</t>
  </si>
  <si>
    <t>Impacto (1-5)</t>
  </si>
  <si>
    <t>Nivel de riesgo</t>
  </si>
  <si>
    <t>Estado del tratamiento</t>
  </si>
  <si>
    <t>Fecha de identificación</t>
  </si>
  <si>
    <t>Fecha estimada de mitigación</t>
  </si>
  <si>
    <t>Puntaje del riesgo</t>
  </si>
  <si>
    <t>R-001</t>
  </si>
  <si>
    <t>Cumplimiento</t>
  </si>
  <si>
    <t>Incumplimiento de controles regulatorios o políticas internas de TI.</t>
  </si>
  <si>
    <t>En tratamiento</t>
  </si>
  <si>
    <t>R-002</t>
  </si>
  <si>
    <t>Ciberseguridad</t>
  </si>
  <si>
    <t>Acceso no autorizado a información sensible por credenciales comprometidas.</t>
  </si>
  <si>
    <t>Seguridad de la Información</t>
  </si>
  <si>
    <t>R-003</t>
  </si>
  <si>
    <t>En seguimiento</t>
  </si>
  <si>
    <t>R-004</t>
  </si>
  <si>
    <t>Aplicaciones</t>
  </si>
  <si>
    <t>Vulnerabilidades o fallas funcionales en sistemas institucionales.</t>
  </si>
  <si>
    <t>Desarrollo de Sistemas</t>
  </si>
  <si>
    <t>R-005</t>
  </si>
  <si>
    <t>Continuidad</t>
  </si>
  <si>
    <t>Interrupción prolongada de servicios críticos por falla de infraestructura.</t>
  </si>
  <si>
    <t>Continuidad del Negocio</t>
  </si>
  <si>
    <t>Cerrado</t>
  </si>
  <si>
    <t>R-006</t>
  </si>
  <si>
    <t>Proveedores</t>
  </si>
  <si>
    <t>Dependencia excesiva de un proveedor tecnológico estratégico.</t>
  </si>
  <si>
    <t>Dirección de Tecnología</t>
  </si>
  <si>
    <t>R-007</t>
  </si>
  <si>
    <t>Proyectos</t>
  </si>
  <si>
    <t>Retraso o sobrecosto en iniciativas tecnológicas prioritarias.</t>
  </si>
  <si>
    <t>Gestión de Proyectos TI</t>
  </si>
  <si>
    <t>Aceptado</t>
  </si>
  <si>
    <t>R-008</t>
  </si>
  <si>
    <t>R-009</t>
  </si>
  <si>
    <t>R-010</t>
  </si>
  <si>
    <t>R-011</t>
  </si>
  <si>
    <t>R-012</t>
  </si>
  <si>
    <t>R-013</t>
  </si>
  <si>
    <t>Talento</t>
  </si>
  <si>
    <t>Insuficiencia de personal especializado para soportar servicios críticos.</t>
  </si>
  <si>
    <t>R-014</t>
  </si>
  <si>
    <t>R-015</t>
  </si>
  <si>
    <t>R-016</t>
  </si>
  <si>
    <t>R-017</t>
  </si>
  <si>
    <t>Abierto</t>
  </si>
  <si>
    <t>R-018</t>
  </si>
  <si>
    <t>Infraestructura</t>
  </si>
  <si>
    <t>Obsolescencia de servidores, redes o componentes de almacenamiento.</t>
  </si>
  <si>
    <t>Infraestructura y Operaciones</t>
  </si>
  <si>
    <t>R-019</t>
  </si>
  <si>
    <t>Datos</t>
  </si>
  <si>
    <t>Pérdida, corrupción o exposición de datos institucionales.</t>
  </si>
  <si>
    <t>R-020</t>
  </si>
  <si>
    <t>R-021</t>
  </si>
  <si>
    <t>R-022</t>
  </si>
  <si>
    <t>R-023</t>
  </si>
  <si>
    <t>R-024</t>
  </si>
  <si>
    <t>R-025</t>
  </si>
  <si>
    <t>R-026</t>
  </si>
  <si>
    <t>R-027</t>
  </si>
  <si>
    <t>R-028</t>
  </si>
  <si>
    <t>R-029</t>
  </si>
  <si>
    <t>R-030</t>
  </si>
  <si>
    <t>R-031</t>
  </si>
  <si>
    <t>R-032</t>
  </si>
  <si>
    <t>R-033</t>
  </si>
  <si>
    <t>R-034</t>
  </si>
  <si>
    <t>R-035</t>
  </si>
  <si>
    <t>R-036</t>
  </si>
  <si>
    <t>ID del incidente</t>
  </si>
  <si>
    <t>Fecha</t>
  </si>
  <si>
    <t>Servicio afectado</t>
  </si>
  <si>
    <t>Tipo de incidente</t>
  </si>
  <si>
    <t>Prioridad</t>
  </si>
  <si>
    <t>Tiempo de resolución en horas</t>
  </si>
  <si>
    <t>Estado</t>
  </si>
  <si>
    <t>Impacto en usuarios</t>
  </si>
  <si>
    <t>Causa raíz</t>
  </si>
  <si>
    <t>INC-0001</t>
  </si>
  <si>
    <t>Correo institucional</t>
  </si>
  <si>
    <t>Rendimiento</t>
  </si>
  <si>
    <t>Crítica</t>
  </si>
  <si>
    <t>Alto</t>
  </si>
  <si>
    <t>Interrupción del proveedor</t>
  </si>
  <si>
    <t>INC-0002</t>
  </si>
  <si>
    <t>Base de datos institucional</t>
  </si>
  <si>
    <t>Degradación del servicio</t>
  </si>
  <si>
    <t>Media</t>
  </si>
  <si>
    <t>Medio</t>
  </si>
  <si>
    <t>Configuración incorrecta</t>
  </si>
  <si>
    <t>INC-0003</t>
  </si>
  <si>
    <t>Red corporativa</t>
  </si>
  <si>
    <t>Caída total</t>
  </si>
  <si>
    <t>Credenciales o permisos incorrectos</t>
  </si>
  <si>
    <t>INC-0004</t>
  </si>
  <si>
    <t>ERP Financiero</t>
  </si>
  <si>
    <t>Alta</t>
  </si>
  <si>
    <t>Resuelto</t>
  </si>
  <si>
    <t>Falla de componente físico</t>
  </si>
  <si>
    <t>INC-0005</t>
  </si>
  <si>
    <t>Baja</t>
  </si>
  <si>
    <t>Bajo</t>
  </si>
  <si>
    <t>INC-0006</t>
  </si>
  <si>
    <t>INC-0007</t>
  </si>
  <si>
    <t>Error de aplicación</t>
  </si>
  <si>
    <t>INC-0008</t>
  </si>
  <si>
    <t>Portal de servicios</t>
  </si>
  <si>
    <t>Seguridad</t>
  </si>
  <si>
    <t>INC-0009</t>
  </si>
  <si>
    <t>Acceso y autenticación</t>
  </si>
  <si>
    <t>INC-0010</t>
  </si>
  <si>
    <t>Gestión documental</t>
  </si>
  <si>
    <t>INC-0011</t>
  </si>
  <si>
    <t>Saturación de recursos de infraestructura</t>
  </si>
  <si>
    <t>INC-0012</t>
  </si>
  <si>
    <t>INC-0013</t>
  </si>
  <si>
    <t>Actualización pendiente</t>
  </si>
  <si>
    <t>INC-0014</t>
  </si>
  <si>
    <t>INC-0015</t>
  </si>
  <si>
    <t>INC-0016</t>
  </si>
  <si>
    <t>INC-0017</t>
  </si>
  <si>
    <t>Conectividad</t>
  </si>
  <si>
    <t>INC-0018</t>
  </si>
  <si>
    <t>INC-0019</t>
  </si>
  <si>
    <t>INC-0020</t>
  </si>
  <si>
    <t>Error de software</t>
  </si>
  <si>
    <t>INC-0021</t>
  </si>
  <si>
    <t>Cambio no controlado en producción</t>
  </si>
  <si>
    <t>INC-0022</t>
  </si>
  <si>
    <t>INC-0023</t>
  </si>
  <si>
    <t>INC-0024</t>
  </si>
  <si>
    <t>INC-0025</t>
  </si>
  <si>
    <t>INC-0026</t>
  </si>
  <si>
    <t>INC-0027</t>
  </si>
  <si>
    <t>INC-0028</t>
  </si>
  <si>
    <t>INC-0029</t>
  </si>
  <si>
    <t>INC-0030</t>
  </si>
  <si>
    <t>INC-0031</t>
  </si>
  <si>
    <t>INC-0032</t>
  </si>
  <si>
    <t>Capacidad insuficiente</t>
  </si>
  <si>
    <t>INC-0033</t>
  </si>
  <si>
    <t>INC-0034</t>
  </si>
  <si>
    <t>INC-0035</t>
  </si>
  <si>
    <t>INC-0036</t>
  </si>
  <si>
    <t>INC-0037</t>
  </si>
  <si>
    <t>INC-0038</t>
  </si>
  <si>
    <t>INC-0039</t>
  </si>
  <si>
    <t>INC-0040</t>
  </si>
  <si>
    <t>INC-0041</t>
  </si>
  <si>
    <t>INC-0042</t>
  </si>
  <si>
    <t>INC-0043</t>
  </si>
  <si>
    <t>INC-0044</t>
  </si>
  <si>
    <t>INC-0045</t>
  </si>
  <si>
    <t>INC-0046</t>
  </si>
  <si>
    <t>INC-0047</t>
  </si>
  <si>
    <t>INC-0048</t>
  </si>
  <si>
    <t>INC-0049</t>
  </si>
  <si>
    <t>INC-0050</t>
  </si>
  <si>
    <t>INC-0051</t>
  </si>
  <si>
    <t>INC-0052</t>
  </si>
  <si>
    <t>INC-0053</t>
  </si>
  <si>
    <t>INC-0054</t>
  </si>
  <si>
    <t>INC-0055</t>
  </si>
  <si>
    <t>INC-0056</t>
  </si>
  <si>
    <t>INC-0057</t>
  </si>
  <si>
    <t>INC-0058</t>
  </si>
  <si>
    <t>INC-0059</t>
  </si>
  <si>
    <t>INC-0060</t>
  </si>
  <si>
    <t>INC-0061</t>
  </si>
  <si>
    <t>INC-0062</t>
  </si>
  <si>
    <t>INC-0063</t>
  </si>
  <si>
    <t>INC-0064</t>
  </si>
  <si>
    <t>INC-0065</t>
  </si>
  <si>
    <t>INC-0066</t>
  </si>
  <si>
    <t>INC-0067</t>
  </si>
  <si>
    <t>INC-0068</t>
  </si>
  <si>
    <t>INC-0069</t>
  </si>
  <si>
    <t>INC-0070</t>
  </si>
  <si>
    <t>INC-0071</t>
  </si>
  <si>
    <t>INC-0072</t>
  </si>
  <si>
    <t>ID de auditoría</t>
  </si>
  <si>
    <t>Fecha de auditoría</t>
  </si>
  <si>
    <t>Proceso auditado</t>
  </si>
  <si>
    <t>Hallazgos críticos</t>
  </si>
  <si>
    <t>Hallazgos medios</t>
  </si>
  <si>
    <t>Hallazgos bajos</t>
  </si>
  <si>
    <t>Porcentaje de cumplimiento</t>
  </si>
  <si>
    <t>Estado del plan de acción</t>
  </si>
  <si>
    <t>Responsable</t>
  </si>
  <si>
    <t>Fecha de cierre estimada</t>
  </si>
  <si>
    <t>AUD-001</t>
  </si>
  <si>
    <t>Seguridad de la información</t>
  </si>
  <si>
    <t>En ejecución</t>
  </si>
  <si>
    <t>Jefe de Seguridad TI</t>
  </si>
  <si>
    <t>AUD-002</t>
  </si>
  <si>
    <t>Gestión de cambios</t>
  </si>
  <si>
    <t>Coordinador de Gobierno TI</t>
  </si>
  <si>
    <t>AUD-003</t>
  </si>
  <si>
    <t>Gestión de proveedores</t>
  </si>
  <si>
    <t>Pendiente</t>
  </si>
  <si>
    <t>AUD-004</t>
  </si>
  <si>
    <t>AUD-005</t>
  </si>
  <si>
    <t>Continuidad operativa</t>
  </si>
  <si>
    <t>AUD-006</t>
  </si>
  <si>
    <t>Mesa de servicios</t>
  </si>
  <si>
    <t>AUD-007</t>
  </si>
  <si>
    <t>Jefe de Desarrollo</t>
  </si>
  <si>
    <t>AUD-008</t>
  </si>
  <si>
    <t>Gerente de Servicios TI</t>
  </si>
  <si>
    <t>AUD-009</t>
  </si>
  <si>
    <t>Gobierno y arquitectura de TI</t>
  </si>
  <si>
    <t>AUD-010</t>
  </si>
  <si>
    <t>AUD-011</t>
  </si>
  <si>
    <t>AUD-012</t>
  </si>
  <si>
    <t>AUD-013</t>
  </si>
  <si>
    <t>Desarrollo seguro</t>
  </si>
  <si>
    <t>Auditor Senior de TI</t>
  </si>
  <si>
    <t>AUD-014</t>
  </si>
  <si>
    <t>AUD-015</t>
  </si>
  <si>
    <t>AUD-016</t>
  </si>
  <si>
    <t>AUD-017</t>
  </si>
  <si>
    <t>AUD-018</t>
  </si>
  <si>
    <t>Sistema o plataforma</t>
  </si>
  <si>
    <t>Horas programadas</t>
  </si>
  <si>
    <t>Horas de indisponibilidad</t>
  </si>
  <si>
    <t>Porcentaje de disponibilidad</t>
  </si>
  <si>
    <t>Número de interrupciones</t>
  </si>
  <si>
    <t>SLA comprometido</t>
  </si>
  <si>
    <t>Cumplimiento del SLA</t>
  </si>
  <si>
    <t>ID del proyecto</t>
  </si>
  <si>
    <t>Nombre del proyecto</t>
  </si>
  <si>
    <t>Categoría</t>
  </si>
  <si>
    <t>Presupuesto aprobado</t>
  </si>
  <si>
    <t>Presupuesto ejecutado</t>
  </si>
  <si>
    <t>Porcentaje de ejecución presupuestaria</t>
  </si>
  <si>
    <t>Porcentaje de avance</t>
  </si>
  <si>
    <t>Estado del proyecto</t>
  </si>
  <si>
    <t>Riesgo del proyecto</t>
  </si>
  <si>
    <t>Fecha de inicio</t>
  </si>
  <si>
    <t>Fecha estimada de finalización</t>
  </si>
  <si>
    <t>PRY-001</t>
  </si>
  <si>
    <t>Modernización del ERP financiero</t>
  </si>
  <si>
    <t>Transformación digital</t>
  </si>
  <si>
    <t>PRY-002</t>
  </si>
  <si>
    <t>Implementación de gobierno de datos</t>
  </si>
  <si>
    <t>Gobierno de datos</t>
  </si>
  <si>
    <t>PRY-003</t>
  </si>
  <si>
    <t>Renovación de infraestructura de servidores</t>
  </si>
  <si>
    <t>Atrasado</t>
  </si>
  <si>
    <t>PRY-004</t>
  </si>
  <si>
    <t>Fortalecimiento del centro de monitoreo SOC</t>
  </si>
  <si>
    <t>Arquitecto Empresarial</t>
  </si>
  <si>
    <t>PRY-005</t>
  </si>
  <si>
    <t>Automatización de gestión documental</t>
  </si>
  <si>
    <t>Automatización</t>
  </si>
  <si>
    <t>En planificación</t>
  </si>
  <si>
    <t>PRY-006</t>
  </si>
  <si>
    <t>Actualización de plataforma de respaldos</t>
  </si>
  <si>
    <t>PRY-007</t>
  </si>
  <si>
    <t>Portal de autoservicio institucional</t>
  </si>
  <si>
    <t>Servicios digitales</t>
  </si>
  <si>
    <t>PRY-008</t>
  </si>
  <si>
    <t>Gestión de identidades y accesos</t>
  </si>
  <si>
    <t>PRY-009</t>
  </si>
  <si>
    <t>Migración de aplicaciones a nube híbrida</t>
  </si>
  <si>
    <t>PRY-010</t>
  </si>
  <si>
    <t>Modelo de arquitectura empresarial</t>
  </si>
  <si>
    <t>Gobierno TI</t>
  </si>
  <si>
    <t>PRY-011</t>
  </si>
  <si>
    <t>Catálogo de servicios TI</t>
  </si>
  <si>
    <t>Gestión de servicios</t>
  </si>
  <si>
    <t>PRY-012</t>
  </si>
  <si>
    <t>Mejora de la red de comunicaciones</t>
  </si>
  <si>
    <t>PRY-013</t>
  </si>
  <si>
    <t>Sistema de gestión de auditorías TI</t>
  </si>
  <si>
    <t>PRY-014</t>
  </si>
  <si>
    <t>Programa de concienciación en seguridad</t>
  </si>
  <si>
    <t>Gerente de Proyectos TI</t>
  </si>
  <si>
    <t>PRY-015</t>
  </si>
  <si>
    <t>Plataforma de analítica ejecutiva</t>
  </si>
  <si>
    <t>Analítica</t>
  </si>
  <si>
    <t>PRY-016</t>
  </si>
  <si>
    <t>Integración de mesa de servicios ITIL</t>
  </si>
  <si>
    <t>PRY-017</t>
  </si>
  <si>
    <t>Plan de continuidad y recuperación</t>
  </si>
  <si>
    <t>PRY-018</t>
  </si>
  <si>
    <t>Actualización de bases de datos</t>
  </si>
  <si>
    <t>Modernización</t>
  </si>
  <si>
    <t>Completado</t>
  </si>
  <si>
    <t>PRY-019</t>
  </si>
  <si>
    <t>Automatización de pruebas de software</t>
  </si>
  <si>
    <t>Calidad de software</t>
  </si>
  <si>
    <t>Jefe de Infraestructura</t>
  </si>
  <si>
    <t>PRY-020</t>
  </si>
  <si>
    <t>Repositorio de políticas y controles TI</t>
  </si>
  <si>
    <t>Nombre del indicador</t>
  </si>
  <si>
    <t>Fórmula sugerida</t>
  </si>
  <si>
    <t>Meta</t>
  </si>
  <si>
    <t>Valor actual</t>
  </si>
  <si>
    <t>Semáforo</t>
  </si>
  <si>
    <t>Interpretación ejecutiva</t>
  </si>
  <si>
    <t>Sentido de la meta</t>
  </si>
  <si>
    <t>Nivel de madurez del gobierno de TI</t>
  </si>
  <si>
    <t>PROMEDIO del nivel de madurez mensual</t>
  </si>
  <si>
    <t>Evalúa la institucionalización, estandarización y mejora de las prácticas de gobierno de TI.</t>
  </si>
  <si>
    <t>Mayor es mejor</t>
  </si>
  <si>
    <t>Cumplimiento de políticas de TI</t>
  </si>
  <si>
    <t>PROMEDIO del porcentaje mensual de cumplimiento de políticas</t>
  </si>
  <si>
    <t>Mide el grado de aplicación efectiva de políticas, normas y procedimientos internos.</t>
  </si>
  <si>
    <t>Cumplimiento normativo</t>
  </si>
  <si>
    <t>PROMEDIO del porcentaje mensual de cumplimiento normativo</t>
  </si>
  <si>
    <t>Indica la alineación con requisitos regulatorios, contractuales y de auditoría.</t>
  </si>
  <si>
    <t>Satisfacción de usuarios</t>
  </si>
  <si>
    <t>Servicios TI</t>
  </si>
  <si>
    <t>PROMEDIO del índice mensual de satisfacción</t>
  </si>
  <si>
    <t>Refleja la percepción de los usuarios sobre la calidad y utilidad de los servicios tecnológicos.</t>
  </si>
  <si>
    <t>Riesgos críticos abiertos</t>
  </si>
  <si>
    <t>Riesgos TI</t>
  </si>
  <si>
    <t>CONTEO de riesgos críticos cuyo tratamiento no está cerrado</t>
  </si>
  <si>
    <t>Un valor alto evidencia exposición tecnológica que requiere atención ejecutiva inmediata.</t>
  </si>
  <si>
    <t>Menor es mejor</t>
  </si>
  <si>
    <t>Tiempo promedio de resolución de incidentes</t>
  </si>
  <si>
    <t>Gestión de incidentes</t>
  </si>
  <si>
    <t>PROMEDIO de horas de resolución de incidentes cerrados o resueltos</t>
  </si>
  <si>
    <t>Mide la eficiencia operativa de la mesa de servicios y equipos de soporte.</t>
  </si>
  <si>
    <t>Disponibilidad promedio de sistemas</t>
  </si>
  <si>
    <t>Disponibilidad</t>
  </si>
  <si>
    <t>PROMEDIO de disponibilidad de todos los sistemas y meses</t>
  </si>
  <si>
    <t>Resume la confiabilidad y continuidad de las plataformas tecnológicas institucionales.</t>
  </si>
  <si>
    <t>Cumplimiento de SLA</t>
  </si>
  <si>
    <t>Sistemas-mes que cumplen SLA dividido entre total de mediciones</t>
  </si>
  <si>
    <t>Indica el porcentaje de compromisos de nivel de servicio alcanzados.</t>
  </si>
  <si>
    <t>Porcentaje de auditorías cerradas</t>
  </si>
  <si>
    <t>Auditoría TI</t>
  </si>
  <si>
    <t>Auditorías con plan de acción cerrado dividido entre total de auditorías</t>
  </si>
  <si>
    <t>Evalúa la capacidad de remediar hallazgos y cerrar compromisos de auditoría.</t>
  </si>
  <si>
    <t>Avance promedio de proyectos tecnológicos</t>
  </si>
  <si>
    <t>Portafolio TI</t>
  </si>
  <si>
    <t>PROMEDIO del porcentaje de avance de los proyectos</t>
  </si>
  <si>
    <t>Muestra el progreso agregado del portafolio de iniciativas tecnológicas.</t>
  </si>
  <si>
    <t>Ejecución presupuestaria de proyectos TI</t>
  </si>
  <si>
    <t>Presupuesto ejecutado total dividido entre presupuesto aprobado total</t>
  </si>
  <si>
    <t>Permite evaluar la utilización de recursos financieros destinados al portafolio tecnológico.</t>
  </si>
  <si>
    <t>Proyectos con riesgo alto</t>
  </si>
  <si>
    <t>CONTEO de proyectos clasificados con riesgo alto</t>
  </si>
  <si>
    <t>Identifica la concentración de iniciativas que requieren seguimiento ejecutivo reforzado.</t>
  </si>
  <si>
    <t>Índice general de gobierno de SI</t>
  </si>
  <si>
    <t>Promedio compuesto de políticas, normativa, satisfacción y madurez normalizada</t>
  </si>
  <si>
    <t>Sintetiza la condición general del gobierno de sistemas de información en una escala de 0 a 100%.</t>
  </si>
  <si>
    <t>Hoja</t>
  </si>
  <si>
    <t>Columna</t>
  </si>
  <si>
    <t>Significado</t>
  </si>
  <si>
    <t>Tipo de dato</t>
  </si>
  <si>
    <t>Utilidad para análisis e indicadores</t>
  </si>
  <si>
    <t>Ejemplo de valor</t>
  </si>
  <si>
    <t>Resumen_Gobierno_TI</t>
  </si>
  <si>
    <t>Mes de referencia del indicador agregado.</t>
  </si>
  <si>
    <t>Texto</t>
  </si>
  <si>
    <t>Permite analizar tendencias y filtrar periodos.</t>
  </si>
  <si>
    <t>Año calendario de la medición.</t>
  </si>
  <si>
    <t>Entero</t>
  </si>
  <si>
    <t>Facilita comparaciones interanuales.</t>
  </si>
  <si>
    <t>2025</t>
  </si>
  <si>
    <t>Unidad responsable de consolidar el gobierno de TI.</t>
  </si>
  <si>
    <t>Permite segmentar responsabilidades.</t>
  </si>
  <si>
    <t>Valor de madurez en escala de 1 a 5.</t>
  </si>
  <si>
    <t>Decimal</t>
  </si>
  <si>
    <t>Mide evolución de capacidades y prácticas.</t>
  </si>
  <si>
    <t>3.25</t>
  </si>
  <si>
    <t>Grado de aplicación de políticas internas.</t>
  </si>
  <si>
    <t>Porcentaje</t>
  </si>
  <si>
    <t>Sirve para semáforos y tendencias de cumplimiento.</t>
  </si>
  <si>
    <t>84.2%</t>
  </si>
  <si>
    <t>Alineación con requisitos regulatorios y de control.</t>
  </si>
  <si>
    <t>Permite identificar brechas normativas.</t>
  </si>
  <si>
    <t>82.1%</t>
  </si>
  <si>
    <t>Percepción de usuarios sobre servicios TI.</t>
  </si>
  <si>
    <t>Mide calidad percibida y experiencia de servicio.</t>
  </si>
  <si>
    <t>82.3%</t>
  </si>
  <si>
    <t>Clasificación ejecutiva derivada de los indicadores.</t>
  </si>
  <si>
    <t>Texto calculado</t>
  </si>
  <si>
    <t>Resume la condición del periodo.</t>
  </si>
  <si>
    <t>Controlado</t>
  </si>
  <si>
    <t>Riesgos_TI</t>
  </si>
  <si>
    <t>Identificador único del riesgo tecnológico.</t>
  </si>
  <si>
    <t>Permite trazabilidad y conteo de riesgos.</t>
  </si>
  <si>
    <t>Clasificación temática del riesgo.</t>
  </si>
  <si>
    <t>Facilita análisis por tipo de exposición.</t>
  </si>
  <si>
    <t>Evento potencial y su posible consecuencia.</t>
  </si>
  <si>
    <t>Aporta contexto para análisis cualitativo.</t>
  </si>
  <si>
    <t>Acceso no autorizado...</t>
  </si>
  <si>
    <t>Posibilidad de ocurrencia en escala de 1 a 5.</t>
  </si>
  <si>
    <t>Componente del puntaje de riesgo.</t>
  </si>
  <si>
    <t>4</t>
  </si>
  <si>
    <t>Severidad del efecto en escala de 1 a 5.</t>
  </si>
  <si>
    <t>5</t>
  </si>
  <si>
    <t>Clasificación Bajo, Medio, Alto o Crítico.</t>
  </si>
  <si>
    <t>Permite priorización y semáforos.</t>
  </si>
  <si>
    <t>Crítico</t>
  </si>
  <si>
    <t>Unidad dueña del tratamiento.</t>
  </si>
  <si>
    <t>Permite asignar rendición de cuentas.</t>
  </si>
  <si>
    <t>Situación de la respuesta al riesgo.</t>
  </si>
  <si>
    <t>Mide riesgos abiertos, tratados o cerrados.</t>
  </si>
  <si>
    <t>Fecha en que el riesgo fue registrado.</t>
  </si>
  <si>
    <t>Permite medir antigüedad del riesgo.</t>
  </si>
  <si>
    <t>15/03/2025</t>
  </si>
  <si>
    <t>Fecha objetivo para reducir la exposición.</t>
  </si>
  <si>
    <t>Permite detectar vencimientos y atrasos.</t>
  </si>
  <si>
    <t>30/06/2025</t>
  </si>
  <si>
    <t>Producto de probabilidad por impacto.</t>
  </si>
  <si>
    <t>Entero calculado</t>
  </si>
  <si>
    <t>Ordena riesgos según severidad.</t>
  </si>
  <si>
    <t>20</t>
  </si>
  <si>
    <t>Incidentes_Servicios_TI</t>
  </si>
  <si>
    <t>Identificador único del incidente.</t>
  </si>
  <si>
    <t>Permite trazabilidad y conteo.</t>
  </si>
  <si>
    <t>Fecha de registro del incidente.</t>
  </si>
  <si>
    <t>Permite análisis temporal y estacional.</t>
  </si>
  <si>
    <t>12/01/2025</t>
  </si>
  <si>
    <t>Sistema o servicio impactado.</t>
  </si>
  <si>
    <t>Identifica plataformas con mayor recurrencia.</t>
  </si>
  <si>
    <t>Naturaleza de la interrupción o falla.</t>
  </si>
  <si>
    <t>Facilita análisis de causas y tendencias.</t>
  </si>
  <si>
    <t>Urgencia y criticidad operativa.</t>
  </si>
  <si>
    <t>Permite medir volumen crítico y tiempos por prioridad.</t>
  </si>
  <si>
    <t>Horas transcurridas hasta resolver.</t>
  </si>
  <si>
    <t>Base para MTTR y cumplimiento operativo.</t>
  </si>
  <si>
    <t>7.5</t>
  </si>
  <si>
    <t>Situación actual del incidente.</t>
  </si>
  <si>
    <t>Permite medir pendientes y cierres.</t>
  </si>
  <si>
    <t>Equipo encargado de la resolución.</t>
  </si>
  <si>
    <t>Mide carga y desempeño por unidad.</t>
  </si>
  <si>
    <t>Mesa de Servicios</t>
  </si>
  <si>
    <t>Magnitud del efecto sobre usuarios.</t>
  </si>
  <si>
    <t>Ayuda a priorizar incidentes.</t>
  </si>
  <si>
    <t>Origen principal determinado.</t>
  </si>
  <si>
    <t>Permite acciones preventivas y análisis Pareto.</t>
  </si>
  <si>
    <t>Auditorias_TI</t>
  </si>
  <si>
    <t>Identificador único de la auditoría.</t>
  </si>
  <si>
    <t>Permite trazabilidad.</t>
  </si>
  <si>
    <t>Fecha de realización o emisión.</t>
  </si>
  <si>
    <t>Permite tendencias y filtros.</t>
  </si>
  <si>
    <t>10/02/2025</t>
  </si>
  <si>
    <t>Proceso o dominio revisado.</t>
  </si>
  <si>
    <t>Identifica áreas con mayor exposición.</t>
  </si>
  <si>
    <t>Cantidad de hallazgos de máxima severidad.</t>
  </si>
  <si>
    <t>Mide riesgo de control inmediato.</t>
  </si>
  <si>
    <t>1</t>
  </si>
  <si>
    <t>Cantidad de hallazgos de severidad media.</t>
  </si>
  <si>
    <t>Mide debilidades relevantes.</t>
  </si>
  <si>
    <t>Cantidad de hallazgos de severidad baja.</t>
  </si>
  <si>
    <t>Mide oportunidades de mejora.</t>
  </si>
  <si>
    <t>6</t>
  </si>
  <si>
    <t>Resultado ponderado de la auditoría.</t>
  </si>
  <si>
    <t>Porcentaje calculado</t>
  </si>
  <si>
    <t>Permite comparar procesos y periodos.</t>
  </si>
  <si>
    <t>86.0%</t>
  </si>
  <si>
    <t>Situación de la remediación de hallazgos.</t>
  </si>
  <si>
    <t>Base para porcentaje de auditorías cerradas.</t>
  </si>
  <si>
    <t>Persona o rol responsable del plan.</t>
  </si>
  <si>
    <t>Facilita rendición de cuentas.</t>
  </si>
  <si>
    <t>Fecha objetivo para concluir el plan.</t>
  </si>
  <si>
    <t>Permite identificar atrasos.</t>
  </si>
  <si>
    <t>30/05/2025</t>
  </si>
  <si>
    <t>Disponibilidad_Sistemas</t>
  </si>
  <si>
    <t>Mes de la medición.</t>
  </si>
  <si>
    <t>Permite tendencias mensuales.</t>
  </si>
  <si>
    <t>Activo tecnológico medido.</t>
  </si>
  <si>
    <t>Permite comparar confiabilidad por sistema.</t>
  </si>
  <si>
    <t>Total de horas planificadas de operación.</t>
  </si>
  <si>
    <t>Denominador de disponibilidad.</t>
  </si>
  <si>
    <t>744</t>
  </si>
  <si>
    <t>Horas de interrupción acumuladas.</t>
  </si>
  <si>
    <t>Mide impacto operativo.</t>
  </si>
  <si>
    <t>2.4</t>
  </si>
  <si>
    <t>Disponibilidad calculada del periodo.</t>
  </si>
  <si>
    <t>KPI principal de continuidad del servicio.</t>
  </si>
  <si>
    <t>99.677%</t>
  </si>
  <si>
    <t>Cantidad de eventos de indisponibilidad.</t>
  </si>
  <si>
    <t>Mide frecuencia de fallas.</t>
  </si>
  <si>
    <t>3</t>
  </si>
  <si>
    <t>Meta contractual o interna de disponibilidad.</t>
  </si>
  <si>
    <t>Referencia para evaluar cumplimiento.</t>
  </si>
  <si>
    <t>99.500%</t>
  </si>
  <si>
    <t>Resultado Cumple o No cumple.</t>
  </si>
  <si>
    <t>Semáforo de niveles de servicio.</t>
  </si>
  <si>
    <t>Cumple</t>
  </si>
  <si>
    <t>Proyectos_TI</t>
  </si>
  <si>
    <t>Identificador único de la iniciativa.</t>
  </si>
  <si>
    <t>Permite seguimiento individual.</t>
  </si>
  <si>
    <t>Denominación de la iniciativa tecnológica.</t>
  </si>
  <si>
    <t>Identifica el objeto de inversión.</t>
  </si>
  <si>
    <t>Modernización del ERP</t>
  </si>
  <si>
    <t>Tipo de iniciativa o dominio estratégico.</t>
  </si>
  <si>
    <t>Facilita análisis de portafolio.</t>
  </si>
  <si>
    <t>Recursos autorizados para el proyecto.</t>
  </si>
  <si>
    <t>Moneda</t>
  </si>
  <si>
    <t>Base para control financiero.</t>
  </si>
  <si>
    <t>L 2,500,000</t>
  </si>
  <si>
    <t>Recursos utilizados a la fecha.</t>
  </si>
  <si>
    <t>Mide consumo presupuestario.</t>
  </si>
  <si>
    <t>L 1,800,000</t>
  </si>
  <si>
    <t>Ejecutado dividido entre aprobado.</t>
  </si>
  <si>
    <t>Evalúa eficiencia financiera.</t>
  </si>
  <si>
    <t>72.0%</t>
  </si>
  <si>
    <t>Progreso físico o funcional estimado.</t>
  </si>
  <si>
    <t>Mide cumplimiento del cronograma.</t>
  </si>
  <si>
    <t>68.0%</t>
  </si>
  <si>
    <t>Fase o condición actual.</t>
  </si>
  <si>
    <t>Permite monitoreo del portafolio.</t>
  </si>
  <si>
    <t>Clasificación de exposición del proyecto.</t>
  </si>
  <si>
    <t>Prioriza seguimiento ejecutivo.</t>
  </si>
  <si>
    <t>Fecha formal de inicio.</t>
  </si>
  <si>
    <t>Permite analizar duración.</t>
  </si>
  <si>
    <t>15/01/2025</t>
  </si>
  <si>
    <t>Fecha objetivo de entrega.</t>
  </si>
  <si>
    <t>Permite detectar retrasos.</t>
  </si>
  <si>
    <t>15/12/2025</t>
  </si>
  <si>
    <t>Rol encargado del proyecto.</t>
  </si>
  <si>
    <t>Indicadores_KPI</t>
  </si>
  <si>
    <t>Nombre ejecutivo del KPI.</t>
  </si>
  <si>
    <t>Identifica la métrica.</t>
  </si>
  <si>
    <t>Dominio de gestión del indicador.</t>
  </si>
  <si>
    <t>Permite agrupar el tablero.</t>
  </si>
  <si>
    <t>Descripción de la lógica de cálculo.</t>
  </si>
  <si>
    <t>Facilita implementación en BI o HTML.</t>
  </si>
  <si>
    <t>Cumplimientos / total</t>
  </si>
  <si>
    <t>Valor objetivo institucional.</t>
  </si>
  <si>
    <t>Número/porcentaje</t>
  </si>
  <si>
    <t>Permite comparar desempeño.</t>
  </si>
  <si>
    <t>95%</t>
  </si>
  <si>
    <t>Resultado calculado con los datos del libro.</t>
  </si>
  <si>
    <t>Fórmula</t>
  </si>
  <si>
    <t>Alimenta tarjetas KPI.</t>
  </si>
  <si>
    <t>94.4%</t>
  </si>
  <si>
    <t>Clasificación Verde, Amarillo o Rojo.</t>
  </si>
  <si>
    <t>Facilita lectura ejecutiva.</t>
  </si>
  <si>
    <t>Amarillo</t>
  </si>
  <si>
    <t>Explicación de la relevancia del KPI.</t>
  </si>
  <si>
    <t>Apoya la toma de decisiones.</t>
  </si>
  <si>
    <t>Indica el porcentaje...</t>
  </si>
  <si>
    <t>Indica si un valor mayor o menor es favorable.</t>
  </si>
  <si>
    <t>Permite aplicar reglas de semáforo.</t>
  </si>
  <si>
    <t>Componente</t>
  </si>
  <si>
    <t>Objetivo ejecutivo</t>
  </si>
  <si>
    <t>Visualización sugerida</t>
  </si>
  <si>
    <t>Fuente de datos</t>
  </si>
  <si>
    <t>Filtro o dimensión</t>
  </si>
  <si>
    <t>Recomendación de diseño</t>
  </si>
  <si>
    <t>Tarjeta KPI</t>
  </si>
  <si>
    <t>Mostrar el nivel promedio de madurez de gobierno TI.</t>
  </si>
  <si>
    <t>Tarjeta con valor y variación</t>
  </si>
  <si>
    <t>Año y mes</t>
  </si>
  <si>
    <t>Escala 1–5; mostrar meta y tendencia.</t>
  </si>
  <si>
    <t>Visualizar cumplimiento de políticas.</t>
  </si>
  <si>
    <t>Tarjeta porcentual con semáforo</t>
  </si>
  <si>
    <t>Verde ≥ 90%, amarillo 81–89%, rojo &lt; 81%.</t>
  </si>
  <si>
    <t>Visualizar cumplimiento normativo.</t>
  </si>
  <si>
    <t>Incluir comparación contra la meta institucional.</t>
  </si>
  <si>
    <t>Mostrar riesgos críticos abiertos.</t>
  </si>
  <si>
    <t>Tarjeta de alerta</t>
  </si>
  <si>
    <t>Área y estado</t>
  </si>
  <si>
    <t>Usar énfasis visual cuando supere la tolerancia.</t>
  </si>
  <si>
    <t>Mostrar tiempo promedio de resolución.</t>
  </si>
  <si>
    <t>Tarjeta numérica en horas</t>
  </si>
  <si>
    <t>Prioridad y servicio</t>
  </si>
  <si>
    <t>Agregar variación respecto al periodo anterior.</t>
  </si>
  <si>
    <t>Mostrar disponibilidad promedio.</t>
  </si>
  <si>
    <t>Tarjeta porcentual</t>
  </si>
  <si>
    <t>Sistema y mes</t>
  </si>
  <si>
    <t>Usar tres decimales por la sensibilidad del SLA.</t>
  </si>
  <si>
    <t>Gráfico de líneas</t>
  </si>
  <si>
    <t>Analizar evolución de madurez, políticas, normativa y satisfacción.</t>
  </si>
  <si>
    <t>Líneas múltiples por mes</t>
  </si>
  <si>
    <t>Normalizar la madurez o usar eje secundario.</t>
  </si>
  <si>
    <t>Gráfico de barras</t>
  </si>
  <si>
    <t>Comparar riesgos por categoría y nivel.</t>
  </si>
  <si>
    <t>Barras apiladas</t>
  </si>
  <si>
    <t>Área, nivel y estado</t>
  </si>
  <si>
    <t>Ordenar de mayor a menor exposición.</t>
  </si>
  <si>
    <t>Gráfico circular</t>
  </si>
  <si>
    <t>Mostrar distribución de incidentes por prioridad.</t>
  </si>
  <si>
    <t>Dona o pastel</t>
  </si>
  <si>
    <t>Mes y servicio</t>
  </si>
  <si>
    <t>Limitar a cuatro categorías para legibilidad.</t>
  </si>
  <si>
    <t>Comparar MTTR por servicio afectado.</t>
  </si>
  <si>
    <t>Barras horizontales</t>
  </si>
  <si>
    <t>Prioridad y estado</t>
  </si>
  <si>
    <t>Agregar línea de meta de 8 horas.</t>
  </si>
  <si>
    <t>Mapa de calor</t>
  </si>
  <si>
    <t>Identificar sistemas y meses con menor disponibilidad.</t>
  </si>
  <si>
    <t>Matriz sistema versus mes</t>
  </si>
  <si>
    <t>Sistema y año</t>
  </si>
  <si>
    <t>Formato condicional rojo-amarillo-verde.</t>
  </si>
  <si>
    <t>Evaluar cumplimiento de SLA por sistema.</t>
  </si>
  <si>
    <t>Indicador de estado</t>
  </si>
  <si>
    <t>Mes y sistema</t>
  </si>
  <si>
    <t>Mostrar porcentaje de periodos cumplidos.</t>
  </si>
  <si>
    <t>Gráfico combinado</t>
  </si>
  <si>
    <t>Comparar avance y ejecución presupuestaria.</t>
  </si>
  <si>
    <t>Columnas y línea</t>
  </si>
  <si>
    <t>Categoría, estado y responsable</t>
  </si>
  <si>
    <t>Detectar proyectos con gasto superior al avance.</t>
  </si>
  <si>
    <t>Comparar hallazgos por auditoría.</t>
  </si>
  <si>
    <t>Barras apiladas por severidad</t>
  </si>
  <si>
    <t>Proceso y estado</t>
  </si>
  <si>
    <t>Usar categorías crítico, medio y bajo.</t>
  </si>
  <si>
    <t>Tabla resumen</t>
  </si>
  <si>
    <t>Dar seguimiento a acciones de auditoría atrasadas.</t>
  </si>
  <si>
    <t>Tabla con formato condicional</t>
  </si>
  <si>
    <t>Responsable y fecha</t>
  </si>
  <si>
    <t>Resaltar fechas vencidas y hallazgos críticos.</t>
  </si>
  <si>
    <t>Priorizar riesgos tecnológicos.</t>
  </si>
  <si>
    <t>Tabla ordenada por puntaje</t>
  </si>
  <si>
    <t>Área, estado y categoría</t>
  </si>
  <si>
    <t>Incluir edad del riesgo y fecha de mitigación.</t>
  </si>
  <si>
    <t>Filtros</t>
  </si>
  <si>
    <t>Permitir exploración transversal del tablero.</t>
  </si>
  <si>
    <t>Segmentadores o selectores</t>
  </si>
  <si>
    <t>Todas las hojas</t>
  </si>
  <si>
    <t>Mes, área, sistema, riesgo y estado</t>
  </si>
  <si>
    <t>Mantener filtros visibles y sincronizados.</t>
  </si>
  <si>
    <t>Indicador compuesto</t>
  </si>
  <si>
    <t>Representar el estado general del gobierno de SI.</t>
  </si>
  <si>
    <t>Velocímetro o gauge</t>
  </si>
  <si>
    <t>Usar el índice general y explicar sus componentes.</t>
  </si>
  <si>
    <t>Narrativa ejecutiva</t>
  </si>
  <si>
    <t>Resumir hallazgos y decisiones prioritarias.</t>
  </si>
  <si>
    <t>Bloque de texto dinámico</t>
  </si>
  <si>
    <t>Periodo</t>
  </si>
  <si>
    <t>Limitar a tres mensajes: avance, alerta y acción.</t>
  </si>
  <si>
    <t>Diseño general</t>
  </si>
  <si>
    <t>Mantener una lectura profesional y académica.</t>
  </si>
  <si>
    <t>Distribución en cuadrícula</t>
  </si>
  <si>
    <t>Todos</t>
  </si>
  <si>
    <t>Usar azul institucional, espacios en blanco y máximo 6 visuales por vista.</t>
  </si>
  <si>
    <t>GOBIERNO DE SISTEMAS DE INFORMACIÓN — VISTA EJECUTIVA</t>
  </si>
  <si>
    <t>Datos simulados para dashboard académico | Autor: Jeffrey Dennis Coello Medina | Periodo: enero–diciembre 2025</t>
  </si>
  <si>
    <t>Madurez promedio</t>
  </si>
  <si>
    <t>Cumplimiento de políticas</t>
  </si>
  <si>
    <t>Disponibilidad promedio</t>
  </si>
  <si>
    <t>Resolución promedio (horas)</t>
  </si>
  <si>
    <t>Auditorías cerradas</t>
  </si>
  <si>
    <t>Índice general de gobierno SI</t>
  </si>
  <si>
    <t>Madurez</t>
  </si>
  <si>
    <t>Cumplimiento políticas</t>
  </si>
  <si>
    <t>Satisfacción usuarios</t>
  </si>
  <si>
    <t>LECTURA EJECUTIVA RECOMENDADA</t>
  </si>
  <si>
    <t>1) Revise primero el índice general, los riesgos críticos y la disponibilidad. 2) Analice la tendencia mensual de madurez, políticas, normativa y satisfacción. 3) Profundice en las hojas operativas mediante filtros por área, sistema, prioridad, riesgo y estado. 4) Use Indicadores_KPI como capa semántica para Power BI, Excel o un dashboard HTML.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</si>
</sst>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00%"/>
    <numFmt numFmtId="167" formatCode="&quot;L&quot;\ #,##0.00"/>
  </numFmts>
  <fonts count="8">
    <font>
      <sz val="11"/>
      <name val="Carlito"/>
    </font>
    <font>
      <b/>
      <sz val="10"/>
      <color rgb="FFFFFFFF"/>
      <name val="Carlito"/>
    </font>
    <font>
      <b/>
      <sz val="20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22"/>
      <color rgb="FF17365D"/>
      <name val="Carlito"/>
    </font>
    <font>
      <b/>
      <sz val="12"/>
      <color rgb="FFFFFFFF"/>
      <name val="Carlito"/>
    </font>
    <font>
      <sz val="11"/>
      <color rgb="FF1F2937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166" fontId="0" fillId="0" borderId="0" xfId="0" applyNumberFormat="1" applyAlignment="1">
      <alignment vertical="center" wrapText="1"/>
    </xf>
    <xf numFmtId="167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2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2" fontId="5" fillId="3" borderId="0" xfId="0" applyNumberFormat="1" applyFont="1" applyFill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1" fontId="5" fillId="3" borderId="0" xfId="0" applyNumberFormat="1" applyFont="1" applyFill="1" applyAlignment="1">
      <alignment horizontal="center" vertical="center" wrapText="1"/>
    </xf>
    <xf numFmtId="166" fontId="5" fillId="3" borderId="0" xfId="0" applyNumberFormat="1" applyFont="1" applyFill="1" applyAlignment="1">
      <alignment horizontal="center" vertical="center" wrapText="1"/>
    </xf>
    <xf numFmtId="165" fontId="5" fillId="3" borderId="0" xfId="0" applyNumberFormat="1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vertical="top" wrapText="1"/>
    </xf>
  </cellXfs>
  <cellStyles count="1">
    <cellStyle name="Normal" xfId="0" builtinId="0"/>
  </cellStyles>
  <dxfs count="20">
    <dxf>
      <font>
        <b/>
        <color rgb="FFC62828"/>
      </font>
      <fill>
        <patternFill patternType="solid">
          <bgColor rgb="FFFCE4D6"/>
        </patternFill>
      </fill>
    </dxf>
    <dxf>
      <font>
        <b/>
        <color rgb="FFBF8F00"/>
      </font>
      <fill>
        <patternFill patternType="solid">
          <bgColor rgb="FFFFF2CC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b/>
        <color rgb="FFBF8F00"/>
      </font>
      <fill>
        <patternFill patternType="solid">
          <bgColor rgb="FFFFF2CC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b/>
        <color rgb="FFBF8F00"/>
      </font>
      <fill>
        <patternFill patternType="solid">
          <bgColor rgb="FFFFF2CC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b/>
        <color rgb="FFBF8F00"/>
      </font>
      <fill>
        <patternFill patternType="solid">
          <bgColor rgb="FFFFF2CC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BF8F00"/>
      </font>
      <fill>
        <patternFill patternType="solid">
          <bgColor rgb="FFFFF2CC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b/>
        <color rgb="FFBF8F00"/>
      </font>
      <fill>
        <patternFill patternType="solid">
          <bgColor rgb="FFFFF2CC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b/>
        <color rgb="FFBF8F00"/>
      </font>
      <fill>
        <patternFill patternType="solid">
          <bgColor rgb="FFFFF2CC"/>
        </patternFill>
      </fill>
    </dxf>
    <dxf>
      <font>
        <b/>
        <color rgb="FF2E7D32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Evolución mensual de indicadores de gobierno TI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cat>
            <c:strRef>
              <c:f>Vista_Ejecutiva!$A$17:$A$28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Vista_Ejecutiva!$B$17:$B$28</c:f>
              <c:numCache>
                <c:formatCode>0.00</c:formatCode>
                <c:ptCount val="12"/>
                <c:pt idx="0">
                  <c:v>2.85</c:v>
                </c:pt>
                <c:pt idx="1">
                  <c:v>2.92</c:v>
                </c:pt>
                <c:pt idx="2">
                  <c:v>3.02</c:v>
                </c:pt>
                <c:pt idx="3">
                  <c:v>3.08</c:v>
                </c:pt>
                <c:pt idx="4">
                  <c:v>3.16</c:v>
                </c:pt>
                <c:pt idx="5">
                  <c:v>3.25</c:v>
                </c:pt>
                <c:pt idx="6">
                  <c:v>3.31</c:v>
                </c:pt>
                <c:pt idx="7">
                  <c:v>3.38</c:v>
                </c:pt>
                <c:pt idx="8">
                  <c:v>3.46</c:v>
                </c:pt>
                <c:pt idx="9">
                  <c:v>3.55</c:v>
                </c:pt>
                <c:pt idx="10">
                  <c:v>3.63</c:v>
                </c:pt>
                <c:pt idx="11">
                  <c:v>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EA-4BCC-85E5-55C6300491AD}"/>
            </c:ext>
          </c:extLst>
        </c:ser>
        <c:ser>
          <c:idx val="1"/>
          <c:order val="1"/>
          <c:cat>
            <c:strRef>
              <c:f>Vista_Ejecutiva!$A$17:$A$28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Vista_Ejecutiva!$C$17:$C$28</c:f>
              <c:numCache>
                <c:formatCode>0.0%</c:formatCode>
                <c:ptCount val="12"/>
                <c:pt idx="0">
                  <c:v>0.78100000000000003</c:v>
                </c:pt>
                <c:pt idx="1">
                  <c:v>0.79600000000000004</c:v>
                </c:pt>
                <c:pt idx="2">
                  <c:v>0.80400000000000005</c:v>
                </c:pt>
                <c:pt idx="3">
                  <c:v>0.81599999999999995</c:v>
                </c:pt>
                <c:pt idx="4">
                  <c:v>0.83099999999999996</c:v>
                </c:pt>
                <c:pt idx="5">
                  <c:v>0.84199999999999997</c:v>
                </c:pt>
                <c:pt idx="6">
                  <c:v>0.85399999999999998</c:v>
                </c:pt>
                <c:pt idx="7">
                  <c:v>0.86599999999999999</c:v>
                </c:pt>
                <c:pt idx="8">
                  <c:v>0.88100000000000001</c:v>
                </c:pt>
                <c:pt idx="9">
                  <c:v>0.89600000000000002</c:v>
                </c:pt>
                <c:pt idx="10">
                  <c:v>0.91800000000000004</c:v>
                </c:pt>
                <c:pt idx="11">
                  <c:v>0.93400000000000005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EA-4BCC-85E5-55C6300491AD}"/>
            </c:ext>
          </c:extLst>
        </c:ser>
        <c:ser>
          <c:idx val="2"/>
          <c:order val="2"/>
          <c:cat>
            <c:strRef>
              <c:f>Vista_Ejecutiva!$A$17:$A$28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Vista_Ejecutiva!$D$17:$D$28</c:f>
              <c:numCache>
                <c:formatCode>0.0%</c:formatCode>
                <c:ptCount val="12"/>
                <c:pt idx="0">
                  <c:v>0.752</c:v>
                </c:pt>
                <c:pt idx="1">
                  <c:v>0.76900000000000002</c:v>
                </c:pt>
                <c:pt idx="2">
                  <c:v>0.78100000000000003</c:v>
                </c:pt>
                <c:pt idx="3">
                  <c:v>0.79300000000000004</c:v>
                </c:pt>
                <c:pt idx="4">
                  <c:v>0.80700000000000005</c:v>
                </c:pt>
                <c:pt idx="5">
                  <c:v>0.82099999999999995</c:v>
                </c:pt>
                <c:pt idx="6">
                  <c:v>0.83499999999999996</c:v>
                </c:pt>
                <c:pt idx="7">
                  <c:v>0.84799999999999998</c:v>
                </c:pt>
                <c:pt idx="8">
                  <c:v>0.86199999999999999</c:v>
                </c:pt>
                <c:pt idx="9">
                  <c:v>0.877</c:v>
                </c:pt>
                <c:pt idx="10">
                  <c:v>0.89500000000000002</c:v>
                </c:pt>
                <c:pt idx="11">
                  <c:v>0.91200000000000003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EA-4BCC-85E5-55C6300491AD}"/>
            </c:ext>
          </c:extLst>
        </c:ser>
        <c:ser>
          <c:idx val="3"/>
          <c:order val="3"/>
          <c:cat>
            <c:strRef>
              <c:f>Vista_Ejecutiva!$A$17:$A$28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Vista_Ejecutiva!$E$17:$E$28</c:f>
              <c:numCache>
                <c:formatCode>0.0%</c:formatCode>
                <c:ptCount val="12"/>
                <c:pt idx="0">
                  <c:v>0.76800000000000002</c:v>
                </c:pt>
                <c:pt idx="1">
                  <c:v>0.77600000000000002</c:v>
                </c:pt>
                <c:pt idx="2">
                  <c:v>0.78900000000000003</c:v>
                </c:pt>
                <c:pt idx="3">
                  <c:v>0.80100000000000005</c:v>
                </c:pt>
                <c:pt idx="4">
                  <c:v>0.81200000000000006</c:v>
                </c:pt>
                <c:pt idx="5">
                  <c:v>0.82299999999999995</c:v>
                </c:pt>
                <c:pt idx="6">
                  <c:v>0.83099999999999996</c:v>
                </c:pt>
                <c:pt idx="7">
                  <c:v>0.84199999999999997</c:v>
                </c:pt>
                <c:pt idx="8">
                  <c:v>0.85399999999999998</c:v>
                </c:pt>
                <c:pt idx="9">
                  <c:v>0.86599999999999999</c:v>
                </c:pt>
                <c:pt idx="10">
                  <c:v>0.879</c:v>
                </c:pt>
                <c:pt idx="11">
                  <c:v>0.89100000000000001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EA-4BCC-85E5-55C630049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15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esumenGobiernoTI" displayName="TablaResumenGobiernoTI" ref="A1:H13">
  <tableColumns count="8">
    <tableColumn id="1" xr3:uid="{00000000-0010-0000-0000-000001000000}" name="Mes"/>
    <tableColumn id="2" xr3:uid="{00000000-0010-0000-0000-000002000000}" name="Año"/>
    <tableColumn id="3" xr3:uid="{00000000-0010-0000-0000-000003000000}" name="Área responsable"/>
    <tableColumn id="4" xr3:uid="{00000000-0010-0000-0000-000004000000}" name="Nivel de madurez de gobierno de TI"/>
    <tableColumn id="5" xr3:uid="{00000000-0010-0000-0000-000005000000}" name="Porcentaje de cumplimiento de políticas"/>
    <tableColumn id="6" xr3:uid="{00000000-0010-0000-0000-000006000000}" name="Porcentaje de cumplimiento normativo"/>
    <tableColumn id="7" xr3:uid="{00000000-0010-0000-0000-000007000000}" name="Índice de satisfacción de usuarios"/>
    <tableColumn id="8" xr3:uid="{00000000-0010-0000-0000-000008000000}" name="Estado general del gobierno de T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RiesgosTI" displayName="TablaRiesgosTI" ref="A1:K37">
  <tableColumns count="11">
    <tableColumn id="1" xr3:uid="{00000000-0010-0000-0100-000001000000}" name="ID del riesgo"/>
    <tableColumn id="2" xr3:uid="{00000000-0010-0000-0100-000002000000}" name="Categoría del riesgo"/>
    <tableColumn id="3" xr3:uid="{00000000-0010-0000-0100-000003000000}" name="Descripción del riesgo"/>
    <tableColumn id="4" xr3:uid="{00000000-0010-0000-0100-000004000000}" name="Probabilidad (1-5)"/>
    <tableColumn id="5" xr3:uid="{00000000-0010-0000-0100-000005000000}" name="Impacto (1-5)"/>
    <tableColumn id="6" xr3:uid="{00000000-0010-0000-0100-000006000000}" name="Nivel de riesgo"/>
    <tableColumn id="7" xr3:uid="{00000000-0010-0000-0100-000007000000}" name="Área responsable"/>
    <tableColumn id="8" xr3:uid="{00000000-0010-0000-0100-000008000000}" name="Estado del tratamiento"/>
    <tableColumn id="9" xr3:uid="{00000000-0010-0000-0100-000009000000}" name="Fecha de identificación"/>
    <tableColumn id="10" xr3:uid="{00000000-0010-0000-0100-00000A000000}" name="Fecha estimada de mitigación"/>
    <tableColumn id="11" xr3:uid="{00000000-0010-0000-0100-00000B000000}" name="Puntaje del riesg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IncidentesTI" displayName="TablaIncidentesTI" ref="A1:J73">
  <tableColumns count="10">
    <tableColumn id="1" xr3:uid="{00000000-0010-0000-0200-000001000000}" name="ID del incidente"/>
    <tableColumn id="2" xr3:uid="{00000000-0010-0000-0200-000002000000}" name="Fecha"/>
    <tableColumn id="3" xr3:uid="{00000000-0010-0000-0200-000003000000}" name="Servicio afectado"/>
    <tableColumn id="4" xr3:uid="{00000000-0010-0000-0200-000004000000}" name="Tipo de incidente"/>
    <tableColumn id="5" xr3:uid="{00000000-0010-0000-0200-000005000000}" name="Prioridad"/>
    <tableColumn id="6" xr3:uid="{00000000-0010-0000-0200-000006000000}" name="Tiempo de resolución en horas"/>
    <tableColumn id="7" xr3:uid="{00000000-0010-0000-0200-000007000000}" name="Estado"/>
    <tableColumn id="8" xr3:uid="{00000000-0010-0000-0200-000008000000}" name="Área responsable"/>
    <tableColumn id="9" xr3:uid="{00000000-0010-0000-0200-000009000000}" name="Impacto en usuarios"/>
    <tableColumn id="10" xr3:uid="{00000000-0010-0000-0200-00000A000000}" name="Causa raíz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AuditoriasTI" displayName="TablaAuditoriasTI" ref="A1:J19">
  <tableColumns count="10">
    <tableColumn id="1" xr3:uid="{00000000-0010-0000-0300-000001000000}" name="ID de auditoría"/>
    <tableColumn id="2" xr3:uid="{00000000-0010-0000-0300-000002000000}" name="Fecha de auditoría"/>
    <tableColumn id="3" xr3:uid="{00000000-0010-0000-0300-000003000000}" name="Proceso auditado"/>
    <tableColumn id="4" xr3:uid="{00000000-0010-0000-0300-000004000000}" name="Hallazgos críticos"/>
    <tableColumn id="5" xr3:uid="{00000000-0010-0000-0300-000005000000}" name="Hallazgos medios"/>
    <tableColumn id="6" xr3:uid="{00000000-0010-0000-0300-000006000000}" name="Hallazgos bajos"/>
    <tableColumn id="7" xr3:uid="{00000000-0010-0000-0300-000007000000}" name="Porcentaje de cumplimiento"/>
    <tableColumn id="8" xr3:uid="{00000000-0010-0000-0300-000008000000}" name="Estado del plan de acción"/>
    <tableColumn id="9" xr3:uid="{00000000-0010-0000-0300-000009000000}" name="Responsable"/>
    <tableColumn id="10" xr3:uid="{00000000-0010-0000-0300-00000A000000}" name="Fecha de cierre estimad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DisponibilidadTI" displayName="TablaDisponibilidadTI" ref="A1:H73">
  <tableColumns count="8">
    <tableColumn id="1" xr3:uid="{00000000-0010-0000-0400-000001000000}" name="Mes"/>
    <tableColumn id="2" xr3:uid="{00000000-0010-0000-0400-000002000000}" name="Sistema o plataforma"/>
    <tableColumn id="3" xr3:uid="{00000000-0010-0000-0400-000003000000}" name="Horas programadas"/>
    <tableColumn id="4" xr3:uid="{00000000-0010-0000-0400-000004000000}" name="Horas de indisponibilidad"/>
    <tableColumn id="5" xr3:uid="{00000000-0010-0000-0400-000005000000}" name="Porcentaje de disponibilidad"/>
    <tableColumn id="6" xr3:uid="{00000000-0010-0000-0400-000006000000}" name="Número de interrupciones"/>
    <tableColumn id="7" xr3:uid="{00000000-0010-0000-0400-000007000000}" name="SLA comprometido"/>
    <tableColumn id="8" xr3:uid="{00000000-0010-0000-0400-000008000000}" name="Cumplimiento del SL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ProyectosTI" displayName="TablaProyectosTI" ref="A1:L21">
  <tableColumns count="12">
    <tableColumn id="1" xr3:uid="{00000000-0010-0000-0500-000001000000}" name="ID del proyecto"/>
    <tableColumn id="2" xr3:uid="{00000000-0010-0000-0500-000002000000}" name="Nombre del proyecto"/>
    <tableColumn id="3" xr3:uid="{00000000-0010-0000-0500-000003000000}" name="Categoría"/>
    <tableColumn id="4" xr3:uid="{00000000-0010-0000-0500-000004000000}" name="Presupuesto aprobado"/>
    <tableColumn id="5" xr3:uid="{00000000-0010-0000-0500-000005000000}" name="Presupuesto ejecutado"/>
    <tableColumn id="6" xr3:uid="{00000000-0010-0000-0500-000006000000}" name="Porcentaje de ejecución presupuestaria"/>
    <tableColumn id="7" xr3:uid="{00000000-0010-0000-0500-000007000000}" name="Porcentaje de avance"/>
    <tableColumn id="8" xr3:uid="{00000000-0010-0000-0500-000008000000}" name="Estado del proyecto"/>
    <tableColumn id="9" xr3:uid="{00000000-0010-0000-0500-000009000000}" name="Riesgo del proyecto"/>
    <tableColumn id="10" xr3:uid="{00000000-0010-0000-0500-00000A000000}" name="Fecha de inicio"/>
    <tableColumn id="11" xr3:uid="{00000000-0010-0000-0500-00000B000000}" name="Fecha estimada de finalización"/>
    <tableColumn id="12" xr3:uid="{00000000-0010-0000-0500-00000C000000}" name="Responsabl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IndicadoresKPI" displayName="TablaIndicadoresKPI" ref="A1:H14">
  <tableColumns count="8">
    <tableColumn id="1" xr3:uid="{00000000-0010-0000-0600-000001000000}" name="Nombre del indicador"/>
    <tableColumn id="2" xr3:uid="{00000000-0010-0000-0600-000002000000}" name="Categoría"/>
    <tableColumn id="3" xr3:uid="{00000000-0010-0000-0600-000003000000}" name="Fórmula sugerida"/>
    <tableColumn id="4" xr3:uid="{00000000-0010-0000-0600-000004000000}" name="Meta"/>
    <tableColumn id="5" xr3:uid="{00000000-0010-0000-0600-000005000000}" name="Valor actual"/>
    <tableColumn id="6" xr3:uid="{00000000-0010-0000-0600-000006000000}" name="Semáforo"/>
    <tableColumn id="7" xr3:uid="{00000000-0010-0000-0600-000007000000}" name="Interpretación ejecutiva"/>
    <tableColumn id="8" xr3:uid="{00000000-0010-0000-0600-000008000000}" name="Sentido de la me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DiccionarioDatos" displayName="TablaDiccionarioDatos" ref="A1:F68">
  <tableColumns count="6">
    <tableColumn id="1" xr3:uid="{00000000-0010-0000-0700-000001000000}" name="Hoja"/>
    <tableColumn id="2" xr3:uid="{00000000-0010-0000-0700-000002000000}" name="Columna"/>
    <tableColumn id="3" xr3:uid="{00000000-0010-0000-0700-000003000000}" name="Significado"/>
    <tableColumn id="4" xr3:uid="{00000000-0010-0000-0700-000004000000}" name="Tipo de dato"/>
    <tableColumn id="5" xr3:uid="{00000000-0010-0000-0700-000005000000}" name="Utilidad para análisis e indicadores"/>
    <tableColumn id="6" xr3:uid="{00000000-0010-0000-0700-000006000000}" name="Ejemplo de valo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RecomendacionesDashboard" displayName="TablaRecomendacionesDashboard" ref="A1:F21">
  <tableColumns count="6">
    <tableColumn id="1" xr3:uid="{00000000-0010-0000-0800-000001000000}" name="Componente"/>
    <tableColumn id="2" xr3:uid="{00000000-0010-0000-0800-000002000000}" name="Objetivo ejecutivo"/>
    <tableColumn id="3" xr3:uid="{00000000-0010-0000-0800-000003000000}" name="Visualización sugerida"/>
    <tableColumn id="4" xr3:uid="{00000000-0010-0000-0800-000004000000}" name="Fuente de datos"/>
    <tableColumn id="5" xr3:uid="{00000000-0010-0000-0800-000005000000}" name="Filtro o dimensión"/>
    <tableColumn id="6" xr3:uid="{00000000-0010-0000-0800-000006000000}" name="Recomendación de diseñ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aTendenciaEjecutiva" displayName="TablaTendenciaEjecutiva" ref="A16:E28">
  <tableColumns count="5">
    <tableColumn id="1" xr3:uid="{00000000-0010-0000-0900-000001000000}" name="Mes"/>
    <tableColumn id="2" xr3:uid="{00000000-0010-0000-0900-000002000000}" name="Madurez"/>
    <tableColumn id="3" xr3:uid="{00000000-0010-0000-0900-000003000000}" name="Cumplimiento políticas"/>
    <tableColumn id="4" xr3:uid="{00000000-0010-0000-0900-000004000000}" name="Cumplimiento normativo"/>
    <tableColumn id="5" xr3:uid="{00000000-0010-0000-0900-000005000000}" name="Satisfacción usuari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/>
  </sheetViews>
  <sheetFormatPr baseColWidth="10" defaultColWidth="9" defaultRowHeight="14.25"/>
  <cols>
    <col min="1" max="1" width="13" customWidth="1"/>
    <col min="2" max="2" width="9" customWidth="1"/>
    <col min="3" max="3" width="28" customWidth="1"/>
    <col min="4" max="4" width="18" customWidth="1"/>
    <col min="5" max="6" width="20" customWidth="1"/>
    <col min="7" max="7" width="19" customWidth="1"/>
    <col min="8" max="8" width="24" customWidth="1"/>
  </cols>
  <sheetData>
    <row r="1" spans="1:8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customHeight="1">
      <c r="A2" s="2" t="s">
        <v>8</v>
      </c>
      <c r="B2" s="2">
        <v>2025</v>
      </c>
      <c r="C2" s="2" t="s">
        <v>9</v>
      </c>
      <c r="D2" s="3">
        <v>2.85</v>
      </c>
      <c r="E2" s="4">
        <v>0.78100000000000003</v>
      </c>
      <c r="F2" s="4">
        <v>0.752</v>
      </c>
      <c r="G2" s="4">
        <v>0.76800000000000002</v>
      </c>
      <c r="H2" s="2" t="str">
        <f t="shared" ref="H2:H13" si="0">IF(AND(D2&gt;=4,E2&gt;=0.9,F2&gt;=0.9,G2&gt;=0.85),"Óptimo",IF(AND(D2&gt;=3,E2&gt;=0.8,F2&gt;=0.8,G2&gt;=0.75),"Controlado","Requiere atención"))</f>
        <v>Requiere atención</v>
      </c>
    </row>
    <row r="3" spans="1:8" ht="30" customHeight="1">
      <c r="A3" s="2" t="s">
        <v>10</v>
      </c>
      <c r="B3" s="2">
        <v>2025</v>
      </c>
      <c r="C3" s="2" t="s">
        <v>9</v>
      </c>
      <c r="D3" s="3">
        <v>2.92</v>
      </c>
      <c r="E3" s="4">
        <v>0.79600000000000004</v>
      </c>
      <c r="F3" s="4">
        <v>0.76900000000000002</v>
      </c>
      <c r="G3" s="4">
        <v>0.77600000000000002</v>
      </c>
      <c r="H3" s="2" t="str">
        <f t="shared" si="0"/>
        <v>Requiere atención</v>
      </c>
    </row>
    <row r="4" spans="1:8" ht="30" customHeight="1">
      <c r="A4" s="2" t="s">
        <v>11</v>
      </c>
      <c r="B4" s="2">
        <v>2025</v>
      </c>
      <c r="C4" s="2" t="s">
        <v>9</v>
      </c>
      <c r="D4" s="3">
        <v>3.02</v>
      </c>
      <c r="E4" s="4">
        <v>0.80400000000000005</v>
      </c>
      <c r="F4" s="4">
        <v>0.78100000000000003</v>
      </c>
      <c r="G4" s="4">
        <v>0.78900000000000003</v>
      </c>
      <c r="H4" s="2" t="str">
        <f t="shared" si="0"/>
        <v>Requiere atención</v>
      </c>
    </row>
    <row r="5" spans="1:8" ht="30" customHeight="1">
      <c r="A5" s="2" t="s">
        <v>12</v>
      </c>
      <c r="B5" s="2">
        <v>2025</v>
      </c>
      <c r="C5" s="2" t="s">
        <v>9</v>
      </c>
      <c r="D5" s="3">
        <v>3.08</v>
      </c>
      <c r="E5" s="4">
        <v>0.81599999999999995</v>
      </c>
      <c r="F5" s="4">
        <v>0.79300000000000004</v>
      </c>
      <c r="G5" s="4">
        <v>0.80100000000000005</v>
      </c>
      <c r="H5" s="2" t="str">
        <f t="shared" si="0"/>
        <v>Requiere atención</v>
      </c>
    </row>
    <row r="6" spans="1:8" ht="30" customHeight="1">
      <c r="A6" s="2" t="s">
        <v>13</v>
      </c>
      <c r="B6" s="2">
        <v>2025</v>
      </c>
      <c r="C6" s="2" t="s">
        <v>9</v>
      </c>
      <c r="D6" s="3">
        <v>3.16</v>
      </c>
      <c r="E6" s="4">
        <v>0.83099999999999996</v>
      </c>
      <c r="F6" s="4">
        <v>0.80700000000000005</v>
      </c>
      <c r="G6" s="4">
        <v>0.81200000000000006</v>
      </c>
      <c r="H6" s="2" t="str">
        <f t="shared" si="0"/>
        <v>Controlado</v>
      </c>
    </row>
    <row r="7" spans="1:8" ht="30" customHeight="1">
      <c r="A7" s="2" t="s">
        <v>14</v>
      </c>
      <c r="B7" s="2">
        <v>2025</v>
      </c>
      <c r="C7" s="2" t="s">
        <v>9</v>
      </c>
      <c r="D7" s="3">
        <v>3.25</v>
      </c>
      <c r="E7" s="4">
        <v>0.84199999999999997</v>
      </c>
      <c r="F7" s="4">
        <v>0.82099999999999995</v>
      </c>
      <c r="G7" s="4">
        <v>0.82299999999999995</v>
      </c>
      <c r="H7" s="2" t="str">
        <f t="shared" si="0"/>
        <v>Controlado</v>
      </c>
    </row>
    <row r="8" spans="1:8" ht="30" customHeight="1">
      <c r="A8" s="2" t="s">
        <v>15</v>
      </c>
      <c r="B8" s="2">
        <v>2025</v>
      </c>
      <c r="C8" s="2" t="s">
        <v>9</v>
      </c>
      <c r="D8" s="3">
        <v>3.31</v>
      </c>
      <c r="E8" s="4">
        <v>0.85399999999999998</v>
      </c>
      <c r="F8" s="4">
        <v>0.83499999999999996</v>
      </c>
      <c r="G8" s="4">
        <v>0.83099999999999996</v>
      </c>
      <c r="H8" s="2" t="str">
        <f t="shared" si="0"/>
        <v>Controlado</v>
      </c>
    </row>
    <row r="9" spans="1:8" ht="30" customHeight="1">
      <c r="A9" s="2" t="s">
        <v>16</v>
      </c>
      <c r="B9" s="2">
        <v>2025</v>
      </c>
      <c r="C9" s="2" t="s">
        <v>9</v>
      </c>
      <c r="D9" s="3">
        <v>3.38</v>
      </c>
      <c r="E9" s="4">
        <v>0.86599999999999999</v>
      </c>
      <c r="F9" s="4">
        <v>0.84799999999999998</v>
      </c>
      <c r="G9" s="4">
        <v>0.84199999999999997</v>
      </c>
      <c r="H9" s="2" t="str">
        <f t="shared" si="0"/>
        <v>Controlado</v>
      </c>
    </row>
    <row r="10" spans="1:8" ht="30" customHeight="1">
      <c r="A10" s="2" t="s">
        <v>17</v>
      </c>
      <c r="B10" s="2">
        <v>2025</v>
      </c>
      <c r="C10" s="2" t="s">
        <v>9</v>
      </c>
      <c r="D10" s="3">
        <v>3.46</v>
      </c>
      <c r="E10" s="4">
        <v>0.88100000000000001</v>
      </c>
      <c r="F10" s="4">
        <v>0.86199999999999999</v>
      </c>
      <c r="G10" s="4">
        <v>0.85399999999999998</v>
      </c>
      <c r="H10" s="2" t="str">
        <f t="shared" si="0"/>
        <v>Controlado</v>
      </c>
    </row>
    <row r="11" spans="1:8" ht="30" customHeight="1">
      <c r="A11" s="2" t="s">
        <v>18</v>
      </c>
      <c r="B11" s="2">
        <v>2025</v>
      </c>
      <c r="C11" s="2" t="s">
        <v>9</v>
      </c>
      <c r="D11" s="3">
        <v>3.55</v>
      </c>
      <c r="E11" s="4">
        <v>0.89600000000000002</v>
      </c>
      <c r="F11" s="4">
        <v>0.877</v>
      </c>
      <c r="G11" s="4">
        <v>0.86599999999999999</v>
      </c>
      <c r="H11" s="2" t="str">
        <f t="shared" si="0"/>
        <v>Controlado</v>
      </c>
    </row>
    <row r="12" spans="1:8" ht="30" customHeight="1">
      <c r="A12" s="2" t="s">
        <v>19</v>
      </c>
      <c r="B12" s="2">
        <v>2025</v>
      </c>
      <c r="C12" s="2" t="s">
        <v>9</v>
      </c>
      <c r="D12" s="3">
        <v>3.63</v>
      </c>
      <c r="E12" s="4">
        <v>0.91800000000000004</v>
      </c>
      <c r="F12" s="4">
        <v>0.89500000000000002</v>
      </c>
      <c r="G12" s="4">
        <v>0.879</v>
      </c>
      <c r="H12" s="2" t="str">
        <f t="shared" si="0"/>
        <v>Controlado</v>
      </c>
    </row>
    <row r="13" spans="1:8" ht="30" customHeight="1">
      <c r="A13" s="2" t="s">
        <v>20</v>
      </c>
      <c r="B13" s="2">
        <v>2025</v>
      </c>
      <c r="C13" s="2" t="s">
        <v>9</v>
      </c>
      <c r="D13" s="3">
        <v>3.72</v>
      </c>
      <c r="E13" s="4">
        <v>0.93400000000000005</v>
      </c>
      <c r="F13" s="4">
        <v>0.91200000000000003</v>
      </c>
      <c r="G13" s="4">
        <v>0.89100000000000001</v>
      </c>
      <c r="H13" s="2" t="str">
        <f t="shared" si="0"/>
        <v>Controlado</v>
      </c>
    </row>
  </sheetData>
  <conditionalFormatting sqref="D2:G1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H2:H13">
    <cfRule type="expression" dxfId="19" priority="2">
      <formula>OR(H2="Óptimo",H2="Cumple",H2="Cerrado",H2="Completado",H2="Verde")</formula>
    </cfRule>
    <cfRule type="expression" dxfId="18" priority="3">
      <formula>OR(H2="Controlado",H2="En seguimiento",H2="En ejecución",H2="Amarillo")</formula>
    </cfRule>
    <cfRule type="expression" dxfId="17" priority="4">
      <formula>OR(H2="Requiere atención",H2="No cumple",H2="Abierto",H2="Atrasado",H2="Rojo")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workbookViewId="0"/>
  </sheetViews>
  <sheetFormatPr baseColWidth="10" defaultColWidth="9" defaultRowHeight="14.25"/>
  <cols>
    <col min="1" max="1" width="12" customWidth="1"/>
    <col min="2" max="2" width="18" customWidth="1"/>
    <col min="3" max="3" width="42" customWidth="1"/>
    <col min="4" max="4" width="14" customWidth="1"/>
    <col min="5" max="5" width="12" customWidth="1"/>
    <col min="6" max="6" width="15" customWidth="1"/>
    <col min="7" max="7" width="28" customWidth="1"/>
    <col min="8" max="8" width="19" customWidth="1"/>
    <col min="9" max="9" width="18" customWidth="1"/>
    <col min="10" max="10" width="20" customWidth="1"/>
    <col min="11" max="11" width="14" customWidth="1"/>
  </cols>
  <sheetData>
    <row r="1" spans="1:11" ht="33.950000000000003" customHeight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 ht="30" customHeight="1">
      <c r="A2" s="2" t="s">
        <v>31</v>
      </c>
      <c r="B2" s="2" t="s">
        <v>32</v>
      </c>
      <c r="C2" s="2" t="s">
        <v>33</v>
      </c>
      <c r="D2" s="2">
        <v>3</v>
      </c>
      <c r="E2" s="2">
        <v>4</v>
      </c>
      <c r="F2" s="2" t="str">
        <f t="shared" ref="F2:F37" si="0">IF(K2&gt;=20,"Crítico",IF(K2&gt;=12,"Alto",IF(K2&gt;=6,"Medio","Bajo")))</f>
        <v>Alto</v>
      </c>
      <c r="G2" s="2" t="s">
        <v>9</v>
      </c>
      <c r="H2" s="2" t="s">
        <v>34</v>
      </c>
      <c r="I2" s="5">
        <v>45663</v>
      </c>
      <c r="J2" s="5">
        <v>45772</v>
      </c>
      <c r="K2" s="2">
        <f t="shared" ref="K2:K37" si="1">D2*E2</f>
        <v>12</v>
      </c>
    </row>
    <row r="3" spans="1:11" ht="30" customHeight="1">
      <c r="A3" s="2" t="s">
        <v>35</v>
      </c>
      <c r="B3" s="2" t="s">
        <v>36</v>
      </c>
      <c r="C3" s="2" t="s">
        <v>37</v>
      </c>
      <c r="D3" s="2">
        <v>3</v>
      </c>
      <c r="E3" s="2">
        <v>4</v>
      </c>
      <c r="F3" s="2" t="str">
        <f t="shared" si="0"/>
        <v>Alto</v>
      </c>
      <c r="G3" s="2" t="s">
        <v>38</v>
      </c>
      <c r="H3" s="2" t="s">
        <v>34</v>
      </c>
      <c r="I3" s="5">
        <v>45675</v>
      </c>
      <c r="J3" s="5">
        <v>45797</v>
      </c>
      <c r="K3" s="2">
        <f t="shared" si="1"/>
        <v>12</v>
      </c>
    </row>
    <row r="4" spans="1:11" ht="30" customHeight="1">
      <c r="A4" s="2" t="s">
        <v>39</v>
      </c>
      <c r="B4" s="2" t="s">
        <v>36</v>
      </c>
      <c r="C4" s="2" t="s">
        <v>37</v>
      </c>
      <c r="D4" s="2">
        <v>2</v>
      </c>
      <c r="E4" s="2">
        <v>2</v>
      </c>
      <c r="F4" s="2" t="str">
        <f t="shared" si="0"/>
        <v>Bajo</v>
      </c>
      <c r="G4" s="2" t="s">
        <v>38</v>
      </c>
      <c r="H4" s="2" t="s">
        <v>40</v>
      </c>
      <c r="I4" s="5">
        <v>45668</v>
      </c>
      <c r="J4" s="5">
        <v>45759</v>
      </c>
      <c r="K4" s="2">
        <f t="shared" si="1"/>
        <v>4</v>
      </c>
    </row>
    <row r="5" spans="1:11" ht="30" customHeight="1">
      <c r="A5" s="2" t="s">
        <v>41</v>
      </c>
      <c r="B5" s="2" t="s">
        <v>42</v>
      </c>
      <c r="C5" s="2" t="s">
        <v>43</v>
      </c>
      <c r="D5" s="2">
        <v>4</v>
      </c>
      <c r="E5" s="2">
        <v>2</v>
      </c>
      <c r="F5" s="2" t="str">
        <f t="shared" si="0"/>
        <v>Medio</v>
      </c>
      <c r="G5" s="2" t="s">
        <v>44</v>
      </c>
      <c r="H5" s="2" t="s">
        <v>40</v>
      </c>
      <c r="I5" s="5">
        <v>45698</v>
      </c>
      <c r="J5" s="5">
        <v>45818</v>
      </c>
      <c r="K5" s="2">
        <f t="shared" si="1"/>
        <v>8</v>
      </c>
    </row>
    <row r="6" spans="1:11" ht="30" customHeight="1">
      <c r="A6" s="2" t="s">
        <v>45</v>
      </c>
      <c r="B6" s="2" t="s">
        <v>46</v>
      </c>
      <c r="C6" s="2" t="s">
        <v>47</v>
      </c>
      <c r="D6" s="2">
        <v>2</v>
      </c>
      <c r="E6" s="2">
        <v>5</v>
      </c>
      <c r="F6" s="2" t="str">
        <f t="shared" si="0"/>
        <v>Medio</v>
      </c>
      <c r="G6" s="2" t="s">
        <v>48</v>
      </c>
      <c r="H6" s="2" t="s">
        <v>49</v>
      </c>
      <c r="I6" s="5">
        <v>45709</v>
      </c>
      <c r="J6" s="5">
        <v>45795</v>
      </c>
      <c r="K6" s="2">
        <f t="shared" si="1"/>
        <v>10</v>
      </c>
    </row>
    <row r="7" spans="1:11" ht="30" customHeight="1">
      <c r="A7" s="2" t="s">
        <v>50</v>
      </c>
      <c r="B7" s="2" t="s">
        <v>51</v>
      </c>
      <c r="C7" s="2" t="s">
        <v>52</v>
      </c>
      <c r="D7" s="2">
        <v>4</v>
      </c>
      <c r="E7" s="2">
        <v>3</v>
      </c>
      <c r="F7" s="2" t="str">
        <f t="shared" si="0"/>
        <v>Alto</v>
      </c>
      <c r="G7" s="2" t="s">
        <v>53</v>
      </c>
      <c r="H7" s="2" t="s">
        <v>34</v>
      </c>
      <c r="I7" s="5">
        <v>45712</v>
      </c>
      <c r="J7" s="5">
        <v>45773</v>
      </c>
      <c r="K7" s="2">
        <f t="shared" si="1"/>
        <v>12</v>
      </c>
    </row>
    <row r="8" spans="1:11" ht="30" customHeight="1">
      <c r="A8" s="2" t="s">
        <v>54</v>
      </c>
      <c r="B8" s="2" t="s">
        <v>55</v>
      </c>
      <c r="C8" s="2" t="s">
        <v>56</v>
      </c>
      <c r="D8" s="2">
        <v>2</v>
      </c>
      <c r="E8" s="2">
        <v>4</v>
      </c>
      <c r="F8" s="2" t="str">
        <f t="shared" si="0"/>
        <v>Medio</v>
      </c>
      <c r="G8" s="2" t="s">
        <v>57</v>
      </c>
      <c r="H8" s="2" t="s">
        <v>58</v>
      </c>
      <c r="I8" s="5">
        <v>45727</v>
      </c>
      <c r="J8" s="5">
        <v>45763</v>
      </c>
      <c r="K8" s="2">
        <f t="shared" si="1"/>
        <v>8</v>
      </c>
    </row>
    <row r="9" spans="1:11" ht="30" customHeight="1">
      <c r="A9" s="2" t="s">
        <v>59</v>
      </c>
      <c r="B9" s="2" t="s">
        <v>46</v>
      </c>
      <c r="C9" s="2" t="s">
        <v>47</v>
      </c>
      <c r="D9" s="2">
        <v>3</v>
      </c>
      <c r="E9" s="2">
        <v>4</v>
      </c>
      <c r="F9" s="2" t="str">
        <f t="shared" si="0"/>
        <v>Alto</v>
      </c>
      <c r="G9" s="2" t="s">
        <v>48</v>
      </c>
      <c r="H9" s="2" t="s">
        <v>49</v>
      </c>
      <c r="I9" s="5">
        <v>45726</v>
      </c>
      <c r="J9" s="5">
        <v>45764</v>
      </c>
      <c r="K9" s="2">
        <f t="shared" si="1"/>
        <v>12</v>
      </c>
    </row>
    <row r="10" spans="1:11" ht="30" customHeight="1">
      <c r="A10" s="2" t="s">
        <v>60</v>
      </c>
      <c r="B10" s="2" t="s">
        <v>51</v>
      </c>
      <c r="C10" s="2" t="s">
        <v>52</v>
      </c>
      <c r="D10" s="2">
        <v>5</v>
      </c>
      <c r="E10" s="2">
        <v>3</v>
      </c>
      <c r="F10" s="2" t="str">
        <f t="shared" si="0"/>
        <v>Alto</v>
      </c>
      <c r="G10" s="2" t="s">
        <v>53</v>
      </c>
      <c r="H10" s="2" t="s">
        <v>34</v>
      </c>
      <c r="I10" s="5">
        <v>45738</v>
      </c>
      <c r="J10" s="5">
        <v>45863</v>
      </c>
      <c r="K10" s="2">
        <f t="shared" si="1"/>
        <v>15</v>
      </c>
    </row>
    <row r="11" spans="1:11" ht="30" customHeight="1">
      <c r="A11" s="2" t="s">
        <v>61</v>
      </c>
      <c r="B11" s="2" t="s">
        <v>51</v>
      </c>
      <c r="C11" s="2" t="s">
        <v>52</v>
      </c>
      <c r="D11" s="2">
        <v>4</v>
      </c>
      <c r="E11" s="2">
        <v>3</v>
      </c>
      <c r="F11" s="2" t="str">
        <f t="shared" si="0"/>
        <v>Alto</v>
      </c>
      <c r="G11" s="2" t="s">
        <v>53</v>
      </c>
      <c r="H11" s="2" t="s">
        <v>34</v>
      </c>
      <c r="I11" s="5">
        <v>45772</v>
      </c>
      <c r="J11" s="5">
        <v>45886</v>
      </c>
      <c r="K11" s="2">
        <f t="shared" si="1"/>
        <v>12</v>
      </c>
    </row>
    <row r="12" spans="1:11" ht="30" customHeight="1">
      <c r="A12" s="2" t="s">
        <v>62</v>
      </c>
      <c r="B12" s="2" t="s">
        <v>51</v>
      </c>
      <c r="C12" s="2" t="s">
        <v>52</v>
      </c>
      <c r="D12" s="2">
        <v>3</v>
      </c>
      <c r="E12" s="2">
        <v>3</v>
      </c>
      <c r="F12" s="2" t="str">
        <f t="shared" si="0"/>
        <v>Medio</v>
      </c>
      <c r="G12" s="2" t="s">
        <v>53</v>
      </c>
      <c r="H12" s="2" t="s">
        <v>49</v>
      </c>
      <c r="I12" s="5">
        <v>45750</v>
      </c>
      <c r="J12" s="5">
        <v>45900</v>
      </c>
      <c r="K12" s="2">
        <f t="shared" si="1"/>
        <v>9</v>
      </c>
    </row>
    <row r="13" spans="1:11" ht="30" customHeight="1">
      <c r="A13" s="2" t="s">
        <v>63</v>
      </c>
      <c r="B13" s="2" t="s">
        <v>42</v>
      </c>
      <c r="C13" s="2" t="s">
        <v>43</v>
      </c>
      <c r="D13" s="2">
        <v>4</v>
      </c>
      <c r="E13" s="2">
        <v>4</v>
      </c>
      <c r="F13" s="2" t="str">
        <f t="shared" si="0"/>
        <v>Alto</v>
      </c>
      <c r="G13" s="2" t="s">
        <v>44</v>
      </c>
      <c r="H13" s="2" t="s">
        <v>49</v>
      </c>
      <c r="I13" s="5">
        <v>45750</v>
      </c>
      <c r="J13" s="5">
        <v>45881</v>
      </c>
      <c r="K13" s="2">
        <f t="shared" si="1"/>
        <v>16</v>
      </c>
    </row>
    <row r="14" spans="1:11" ht="30" customHeight="1">
      <c r="A14" s="2" t="s">
        <v>64</v>
      </c>
      <c r="B14" s="2" t="s">
        <v>65</v>
      </c>
      <c r="C14" s="2" t="s">
        <v>66</v>
      </c>
      <c r="D14" s="2">
        <v>4</v>
      </c>
      <c r="E14" s="2">
        <v>3</v>
      </c>
      <c r="F14" s="2" t="str">
        <f t="shared" si="0"/>
        <v>Alto</v>
      </c>
      <c r="G14" s="2" t="s">
        <v>53</v>
      </c>
      <c r="H14" s="2" t="s">
        <v>34</v>
      </c>
      <c r="I14" s="5">
        <v>45781</v>
      </c>
      <c r="J14" s="5">
        <v>45831</v>
      </c>
      <c r="K14" s="2">
        <f t="shared" si="1"/>
        <v>12</v>
      </c>
    </row>
    <row r="15" spans="1:11" ht="30" customHeight="1">
      <c r="A15" s="2" t="s">
        <v>67</v>
      </c>
      <c r="B15" s="2" t="s">
        <v>36</v>
      </c>
      <c r="C15" s="2" t="s">
        <v>37</v>
      </c>
      <c r="D15" s="2">
        <v>3</v>
      </c>
      <c r="E15" s="2">
        <v>3</v>
      </c>
      <c r="F15" s="2" t="str">
        <f t="shared" si="0"/>
        <v>Medio</v>
      </c>
      <c r="G15" s="2" t="s">
        <v>38</v>
      </c>
      <c r="H15" s="2" t="s">
        <v>58</v>
      </c>
      <c r="I15" s="5">
        <v>45796</v>
      </c>
      <c r="J15" s="5">
        <v>45939</v>
      </c>
      <c r="K15" s="2">
        <f t="shared" si="1"/>
        <v>9</v>
      </c>
    </row>
    <row r="16" spans="1:11" ht="30" customHeight="1">
      <c r="A16" s="2" t="s">
        <v>68</v>
      </c>
      <c r="B16" s="2" t="s">
        <v>55</v>
      </c>
      <c r="C16" s="2" t="s">
        <v>56</v>
      </c>
      <c r="D16" s="2">
        <v>4</v>
      </c>
      <c r="E16" s="2">
        <v>2</v>
      </c>
      <c r="F16" s="2" t="str">
        <f t="shared" si="0"/>
        <v>Medio</v>
      </c>
      <c r="G16" s="2" t="s">
        <v>57</v>
      </c>
      <c r="H16" s="2" t="s">
        <v>58</v>
      </c>
      <c r="I16" s="5">
        <v>45796</v>
      </c>
      <c r="J16" s="5">
        <v>45848</v>
      </c>
      <c r="K16" s="2">
        <f t="shared" si="1"/>
        <v>8</v>
      </c>
    </row>
    <row r="17" spans="1:11" ht="30" customHeight="1">
      <c r="A17" s="2" t="s">
        <v>69</v>
      </c>
      <c r="B17" s="2" t="s">
        <v>51</v>
      </c>
      <c r="C17" s="2" t="s">
        <v>52</v>
      </c>
      <c r="D17" s="2">
        <v>4</v>
      </c>
      <c r="E17" s="2">
        <v>5</v>
      </c>
      <c r="F17" s="2" t="str">
        <f t="shared" si="0"/>
        <v>Crítico</v>
      </c>
      <c r="G17" s="2" t="s">
        <v>53</v>
      </c>
      <c r="H17" s="2" t="s">
        <v>40</v>
      </c>
      <c r="I17" s="5">
        <v>45821</v>
      </c>
      <c r="J17" s="5">
        <v>45868</v>
      </c>
      <c r="K17" s="2">
        <f t="shared" si="1"/>
        <v>20</v>
      </c>
    </row>
    <row r="18" spans="1:11" ht="30" customHeight="1">
      <c r="A18" s="2" t="s">
        <v>70</v>
      </c>
      <c r="B18" s="2" t="s">
        <v>36</v>
      </c>
      <c r="C18" s="2" t="s">
        <v>37</v>
      </c>
      <c r="D18" s="2">
        <v>4</v>
      </c>
      <c r="E18" s="2">
        <v>5</v>
      </c>
      <c r="F18" s="2" t="str">
        <f t="shared" si="0"/>
        <v>Crítico</v>
      </c>
      <c r="G18" s="2" t="s">
        <v>38</v>
      </c>
      <c r="H18" s="2" t="s">
        <v>71</v>
      </c>
      <c r="I18" s="5">
        <v>45809</v>
      </c>
      <c r="J18" s="5">
        <v>45908</v>
      </c>
      <c r="K18" s="2">
        <f t="shared" si="1"/>
        <v>20</v>
      </c>
    </row>
    <row r="19" spans="1:11" ht="30" customHeight="1">
      <c r="A19" s="2" t="s">
        <v>72</v>
      </c>
      <c r="B19" s="2" t="s">
        <v>73</v>
      </c>
      <c r="C19" s="2" t="s">
        <v>74</v>
      </c>
      <c r="D19" s="2">
        <v>4</v>
      </c>
      <c r="E19" s="2">
        <v>2</v>
      </c>
      <c r="F19" s="2" t="str">
        <f t="shared" si="0"/>
        <v>Medio</v>
      </c>
      <c r="G19" s="2" t="s">
        <v>75</v>
      </c>
      <c r="H19" s="2" t="s">
        <v>40</v>
      </c>
      <c r="I19" s="5">
        <v>45833</v>
      </c>
      <c r="J19" s="5">
        <v>45965</v>
      </c>
      <c r="K19" s="2">
        <f t="shared" si="1"/>
        <v>8</v>
      </c>
    </row>
    <row r="20" spans="1:11" ht="30" customHeight="1">
      <c r="A20" s="2" t="s">
        <v>76</v>
      </c>
      <c r="B20" s="2" t="s">
        <v>77</v>
      </c>
      <c r="C20" s="2" t="s">
        <v>78</v>
      </c>
      <c r="D20" s="2">
        <v>3</v>
      </c>
      <c r="E20" s="2">
        <v>3</v>
      </c>
      <c r="F20" s="2" t="str">
        <f t="shared" si="0"/>
        <v>Medio</v>
      </c>
      <c r="G20" s="2" t="s">
        <v>38</v>
      </c>
      <c r="H20" s="2" t="s">
        <v>58</v>
      </c>
      <c r="I20" s="5">
        <v>45852</v>
      </c>
      <c r="J20" s="5">
        <v>45890</v>
      </c>
      <c r="K20" s="2">
        <f t="shared" si="1"/>
        <v>9</v>
      </c>
    </row>
    <row r="21" spans="1:11" ht="30" customHeight="1">
      <c r="A21" s="2" t="s">
        <v>79</v>
      </c>
      <c r="B21" s="2" t="s">
        <v>73</v>
      </c>
      <c r="C21" s="2" t="s">
        <v>74</v>
      </c>
      <c r="D21" s="2">
        <v>2</v>
      </c>
      <c r="E21" s="2">
        <v>5</v>
      </c>
      <c r="F21" s="2" t="str">
        <f t="shared" si="0"/>
        <v>Medio</v>
      </c>
      <c r="G21" s="2" t="s">
        <v>75</v>
      </c>
      <c r="H21" s="2" t="s">
        <v>58</v>
      </c>
      <c r="I21" s="5">
        <v>45840</v>
      </c>
      <c r="J21" s="5">
        <v>45882</v>
      </c>
      <c r="K21" s="2">
        <f t="shared" si="1"/>
        <v>10</v>
      </c>
    </row>
    <row r="22" spans="1:11" ht="30" customHeight="1">
      <c r="A22" s="2" t="s">
        <v>80</v>
      </c>
      <c r="B22" s="2" t="s">
        <v>77</v>
      </c>
      <c r="C22" s="2" t="s">
        <v>78</v>
      </c>
      <c r="D22" s="2">
        <v>3</v>
      </c>
      <c r="E22" s="2">
        <v>4</v>
      </c>
      <c r="F22" s="2" t="str">
        <f t="shared" si="0"/>
        <v>Alto</v>
      </c>
      <c r="G22" s="2" t="s">
        <v>38</v>
      </c>
      <c r="H22" s="2" t="s">
        <v>40</v>
      </c>
      <c r="I22" s="5">
        <v>45846</v>
      </c>
      <c r="J22" s="5">
        <v>45945</v>
      </c>
      <c r="K22" s="2">
        <f t="shared" si="1"/>
        <v>12</v>
      </c>
    </row>
    <row r="23" spans="1:11" ht="30" customHeight="1">
      <c r="A23" s="2" t="s">
        <v>81</v>
      </c>
      <c r="B23" s="2" t="s">
        <v>32</v>
      </c>
      <c r="C23" s="2" t="s">
        <v>33</v>
      </c>
      <c r="D23" s="2">
        <v>2</v>
      </c>
      <c r="E23" s="2">
        <v>4</v>
      </c>
      <c r="F23" s="2" t="str">
        <f t="shared" si="0"/>
        <v>Medio</v>
      </c>
      <c r="G23" s="2" t="s">
        <v>9</v>
      </c>
      <c r="H23" s="2" t="s">
        <v>40</v>
      </c>
      <c r="I23" s="5">
        <v>45880</v>
      </c>
      <c r="J23" s="5">
        <v>45960</v>
      </c>
      <c r="K23" s="2">
        <f t="shared" si="1"/>
        <v>8</v>
      </c>
    </row>
    <row r="24" spans="1:11" ht="30" customHeight="1">
      <c r="A24" s="2" t="s">
        <v>82</v>
      </c>
      <c r="B24" s="2" t="s">
        <v>65</v>
      </c>
      <c r="C24" s="2" t="s">
        <v>66</v>
      </c>
      <c r="D24" s="2">
        <v>2</v>
      </c>
      <c r="E24" s="2">
        <v>3</v>
      </c>
      <c r="F24" s="2" t="str">
        <f t="shared" si="0"/>
        <v>Medio</v>
      </c>
      <c r="G24" s="2" t="s">
        <v>53</v>
      </c>
      <c r="H24" s="2" t="s">
        <v>58</v>
      </c>
      <c r="I24" s="5">
        <v>45883</v>
      </c>
      <c r="J24" s="5">
        <v>46028</v>
      </c>
      <c r="K24" s="2">
        <f t="shared" si="1"/>
        <v>6</v>
      </c>
    </row>
    <row r="25" spans="1:11" ht="30" customHeight="1">
      <c r="A25" s="2" t="s">
        <v>83</v>
      </c>
      <c r="B25" s="2" t="s">
        <v>73</v>
      </c>
      <c r="C25" s="2" t="s">
        <v>74</v>
      </c>
      <c r="D25" s="2">
        <v>3</v>
      </c>
      <c r="E25" s="2">
        <v>3</v>
      </c>
      <c r="F25" s="2" t="str">
        <f t="shared" si="0"/>
        <v>Medio</v>
      </c>
      <c r="G25" s="2" t="s">
        <v>75</v>
      </c>
      <c r="H25" s="2" t="s">
        <v>58</v>
      </c>
      <c r="I25" s="5">
        <v>45893</v>
      </c>
      <c r="J25" s="5">
        <v>46000</v>
      </c>
      <c r="K25" s="2">
        <f t="shared" si="1"/>
        <v>9</v>
      </c>
    </row>
    <row r="26" spans="1:11" ht="30" customHeight="1">
      <c r="A26" s="2" t="s">
        <v>84</v>
      </c>
      <c r="B26" s="2" t="s">
        <v>55</v>
      </c>
      <c r="C26" s="2" t="s">
        <v>56</v>
      </c>
      <c r="D26" s="2">
        <v>4</v>
      </c>
      <c r="E26" s="2">
        <v>3</v>
      </c>
      <c r="F26" s="2" t="str">
        <f t="shared" si="0"/>
        <v>Alto</v>
      </c>
      <c r="G26" s="2" t="s">
        <v>57</v>
      </c>
      <c r="H26" s="2" t="s">
        <v>49</v>
      </c>
      <c r="I26" s="5">
        <v>45914</v>
      </c>
      <c r="J26" s="5">
        <v>45965</v>
      </c>
      <c r="K26" s="2">
        <f t="shared" si="1"/>
        <v>12</v>
      </c>
    </row>
    <row r="27" spans="1:11" ht="30" customHeight="1">
      <c r="A27" s="2" t="s">
        <v>85</v>
      </c>
      <c r="B27" s="2" t="s">
        <v>32</v>
      </c>
      <c r="C27" s="2" t="s">
        <v>33</v>
      </c>
      <c r="D27" s="2">
        <v>4</v>
      </c>
      <c r="E27" s="2">
        <v>4</v>
      </c>
      <c r="F27" s="2" t="str">
        <f t="shared" si="0"/>
        <v>Alto</v>
      </c>
      <c r="G27" s="2" t="s">
        <v>9</v>
      </c>
      <c r="H27" s="2" t="s">
        <v>40</v>
      </c>
      <c r="I27" s="5">
        <v>45909</v>
      </c>
      <c r="J27" s="5">
        <v>46046</v>
      </c>
      <c r="K27" s="2">
        <f t="shared" si="1"/>
        <v>16</v>
      </c>
    </row>
    <row r="28" spans="1:11" ht="30" customHeight="1">
      <c r="A28" s="2" t="s">
        <v>86</v>
      </c>
      <c r="B28" s="2" t="s">
        <v>42</v>
      </c>
      <c r="C28" s="2" t="s">
        <v>43</v>
      </c>
      <c r="D28" s="2">
        <v>5</v>
      </c>
      <c r="E28" s="2">
        <v>2</v>
      </c>
      <c r="F28" s="2" t="str">
        <f t="shared" si="0"/>
        <v>Medio</v>
      </c>
      <c r="G28" s="2" t="s">
        <v>44</v>
      </c>
      <c r="H28" s="2" t="s">
        <v>40</v>
      </c>
      <c r="I28" s="5">
        <v>45914</v>
      </c>
      <c r="J28" s="5">
        <v>46047</v>
      </c>
      <c r="K28" s="2">
        <f t="shared" si="1"/>
        <v>10</v>
      </c>
    </row>
    <row r="29" spans="1:11" ht="30" customHeight="1">
      <c r="A29" s="2" t="s">
        <v>87</v>
      </c>
      <c r="B29" s="2" t="s">
        <v>46</v>
      </c>
      <c r="C29" s="2" t="s">
        <v>47</v>
      </c>
      <c r="D29" s="2">
        <v>2</v>
      </c>
      <c r="E29" s="2">
        <v>4</v>
      </c>
      <c r="F29" s="2" t="str">
        <f t="shared" si="0"/>
        <v>Medio</v>
      </c>
      <c r="G29" s="2" t="s">
        <v>48</v>
      </c>
      <c r="H29" s="2" t="s">
        <v>40</v>
      </c>
      <c r="I29" s="5">
        <v>45947</v>
      </c>
      <c r="J29" s="5">
        <v>46080</v>
      </c>
      <c r="K29" s="2">
        <f t="shared" si="1"/>
        <v>8</v>
      </c>
    </row>
    <row r="30" spans="1:11" ht="30" customHeight="1">
      <c r="A30" s="2" t="s">
        <v>88</v>
      </c>
      <c r="B30" s="2" t="s">
        <v>73</v>
      </c>
      <c r="C30" s="2" t="s">
        <v>74</v>
      </c>
      <c r="D30" s="2">
        <v>4</v>
      </c>
      <c r="E30" s="2">
        <v>4</v>
      </c>
      <c r="F30" s="2" t="str">
        <f t="shared" si="0"/>
        <v>Alto</v>
      </c>
      <c r="G30" s="2" t="s">
        <v>75</v>
      </c>
      <c r="H30" s="2" t="s">
        <v>49</v>
      </c>
      <c r="I30" s="5">
        <v>45946</v>
      </c>
      <c r="J30" s="5">
        <v>46078</v>
      </c>
      <c r="K30" s="2">
        <f t="shared" si="1"/>
        <v>16</v>
      </c>
    </row>
    <row r="31" spans="1:11" ht="30" customHeight="1">
      <c r="A31" s="2" t="s">
        <v>89</v>
      </c>
      <c r="B31" s="2" t="s">
        <v>65</v>
      </c>
      <c r="C31" s="2" t="s">
        <v>66</v>
      </c>
      <c r="D31" s="2">
        <v>5</v>
      </c>
      <c r="E31" s="2">
        <v>3</v>
      </c>
      <c r="F31" s="2" t="str">
        <f t="shared" si="0"/>
        <v>Alto</v>
      </c>
      <c r="G31" s="2" t="s">
        <v>53</v>
      </c>
      <c r="H31" s="2" t="s">
        <v>40</v>
      </c>
      <c r="I31" s="5">
        <v>45946</v>
      </c>
      <c r="J31" s="5">
        <v>46062</v>
      </c>
      <c r="K31" s="2">
        <f t="shared" si="1"/>
        <v>15</v>
      </c>
    </row>
    <row r="32" spans="1:11" ht="30" customHeight="1">
      <c r="A32" s="2" t="s">
        <v>90</v>
      </c>
      <c r="B32" s="2" t="s">
        <v>73</v>
      </c>
      <c r="C32" s="2" t="s">
        <v>74</v>
      </c>
      <c r="D32" s="2">
        <v>4</v>
      </c>
      <c r="E32" s="2">
        <v>4</v>
      </c>
      <c r="F32" s="2" t="str">
        <f t="shared" si="0"/>
        <v>Alto</v>
      </c>
      <c r="G32" s="2" t="s">
        <v>75</v>
      </c>
      <c r="H32" s="2" t="s">
        <v>34</v>
      </c>
      <c r="I32" s="5">
        <v>45972</v>
      </c>
      <c r="J32" s="5">
        <v>46077</v>
      </c>
      <c r="K32" s="2">
        <f t="shared" si="1"/>
        <v>16</v>
      </c>
    </row>
    <row r="33" spans="1:11" ht="30" customHeight="1">
      <c r="A33" s="2" t="s">
        <v>91</v>
      </c>
      <c r="B33" s="2" t="s">
        <v>42</v>
      </c>
      <c r="C33" s="2" t="s">
        <v>43</v>
      </c>
      <c r="D33" s="2">
        <v>2</v>
      </c>
      <c r="E33" s="2">
        <v>2</v>
      </c>
      <c r="F33" s="2" t="str">
        <f t="shared" si="0"/>
        <v>Bajo</v>
      </c>
      <c r="G33" s="2" t="s">
        <v>44</v>
      </c>
      <c r="H33" s="2" t="s">
        <v>49</v>
      </c>
      <c r="I33" s="5">
        <v>45985</v>
      </c>
      <c r="J33" s="5">
        <v>46113</v>
      </c>
      <c r="K33" s="2">
        <f t="shared" si="1"/>
        <v>4</v>
      </c>
    </row>
    <row r="34" spans="1:11" ht="30" customHeight="1">
      <c r="A34" s="2" t="s">
        <v>92</v>
      </c>
      <c r="B34" s="2" t="s">
        <v>42</v>
      </c>
      <c r="C34" s="2" t="s">
        <v>43</v>
      </c>
      <c r="D34" s="2">
        <v>4</v>
      </c>
      <c r="E34" s="2">
        <v>3</v>
      </c>
      <c r="F34" s="2" t="str">
        <f t="shared" si="0"/>
        <v>Alto</v>
      </c>
      <c r="G34" s="2" t="s">
        <v>44</v>
      </c>
      <c r="H34" s="2" t="s">
        <v>49</v>
      </c>
      <c r="I34" s="5">
        <v>45977</v>
      </c>
      <c r="J34" s="5">
        <v>46127</v>
      </c>
      <c r="K34" s="2">
        <f t="shared" si="1"/>
        <v>12</v>
      </c>
    </row>
    <row r="35" spans="1:11" ht="30" customHeight="1">
      <c r="A35" s="2" t="s">
        <v>93</v>
      </c>
      <c r="B35" s="2" t="s">
        <v>32</v>
      </c>
      <c r="C35" s="2" t="s">
        <v>33</v>
      </c>
      <c r="D35" s="2">
        <v>3</v>
      </c>
      <c r="E35" s="2">
        <v>3</v>
      </c>
      <c r="F35" s="2" t="str">
        <f t="shared" si="0"/>
        <v>Medio</v>
      </c>
      <c r="G35" s="2" t="s">
        <v>9</v>
      </c>
      <c r="H35" s="2" t="s">
        <v>40</v>
      </c>
      <c r="I35" s="5">
        <v>46000</v>
      </c>
      <c r="J35" s="5">
        <v>46086</v>
      </c>
      <c r="K35" s="2">
        <f t="shared" si="1"/>
        <v>9</v>
      </c>
    </row>
    <row r="36" spans="1:11" ht="30" customHeight="1">
      <c r="A36" s="2" t="s">
        <v>94</v>
      </c>
      <c r="B36" s="2" t="s">
        <v>36</v>
      </c>
      <c r="C36" s="2" t="s">
        <v>37</v>
      </c>
      <c r="D36" s="2">
        <v>2</v>
      </c>
      <c r="E36" s="2">
        <v>3</v>
      </c>
      <c r="F36" s="2" t="str">
        <f t="shared" si="0"/>
        <v>Medio</v>
      </c>
      <c r="G36" s="2" t="s">
        <v>38</v>
      </c>
      <c r="H36" s="2" t="s">
        <v>40</v>
      </c>
      <c r="I36" s="5">
        <v>46000</v>
      </c>
      <c r="J36" s="5">
        <v>46116</v>
      </c>
      <c r="K36" s="2">
        <f t="shared" si="1"/>
        <v>6</v>
      </c>
    </row>
    <row r="37" spans="1:11" ht="30" customHeight="1">
      <c r="A37" s="2" t="s">
        <v>95</v>
      </c>
      <c r="B37" s="2" t="s">
        <v>46</v>
      </c>
      <c r="C37" s="2" t="s">
        <v>47</v>
      </c>
      <c r="D37" s="2">
        <v>3</v>
      </c>
      <c r="E37" s="2">
        <v>3</v>
      </c>
      <c r="F37" s="2" t="str">
        <f t="shared" si="0"/>
        <v>Medio</v>
      </c>
      <c r="G37" s="2" t="s">
        <v>48</v>
      </c>
      <c r="H37" s="2" t="s">
        <v>49</v>
      </c>
      <c r="I37" s="5">
        <v>46000</v>
      </c>
      <c r="J37" s="5">
        <v>46146</v>
      </c>
      <c r="K37" s="2">
        <f t="shared" si="1"/>
        <v>9</v>
      </c>
    </row>
  </sheetData>
  <conditionalFormatting sqref="F2:F37">
    <cfRule type="expression" dxfId="16" priority="2">
      <formula>F2="Crítico"</formula>
    </cfRule>
    <cfRule type="expression" dxfId="15" priority="3">
      <formula>F2="Alto"</formula>
    </cfRule>
  </conditionalFormatting>
  <conditionalFormatting sqref="K2:K37">
    <cfRule type="colorScale" priority="1">
      <colorScale>
        <cfvo type="min"/>
        <cfvo type="percentile" val="50"/>
        <cfvo type="max"/>
        <color rgb="FFE2F0D9"/>
        <color rgb="FFFFF2CC"/>
        <color rgb="FFFCE4D6"/>
      </colorScale>
    </cfRule>
  </conditionalFormatting>
  <dataValidations count="1">
    <dataValidation type="list" sqref="H2:H37" xr:uid="{00000000-0002-0000-0100-000000000000}">
      <formula1>"Abierto,En tratamiento,En seguimiento,Aceptado,Cerrado"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3"/>
  <sheetViews>
    <sheetView tabSelected="1" workbookViewId="0">
      <selection activeCell="F2" sqref="F2"/>
    </sheetView>
  </sheetViews>
  <sheetFormatPr baseColWidth="10" defaultColWidth="9" defaultRowHeight="14.25"/>
  <cols>
    <col min="1" max="1" width="15" customWidth="1"/>
    <col min="2" max="2" width="13" customWidth="1"/>
    <col min="3" max="3" width="27" customWidth="1"/>
    <col min="4" max="4" width="24" customWidth="1"/>
    <col min="5" max="5" width="12" customWidth="1"/>
    <col min="6" max="6" width="20" customWidth="1"/>
    <col min="7" max="7" width="16" customWidth="1"/>
    <col min="8" max="8" width="28" customWidth="1"/>
    <col min="9" max="9" width="18" customWidth="1"/>
    <col min="10" max="10" width="34" customWidth="1"/>
  </cols>
  <sheetData>
    <row r="1" spans="1:10" ht="33.950000000000003" customHeight="1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2</v>
      </c>
      <c r="I1" s="1" t="s">
        <v>103</v>
      </c>
      <c r="J1" s="1" t="s">
        <v>104</v>
      </c>
    </row>
    <row r="2" spans="1:10" ht="30" customHeight="1">
      <c r="A2" s="2" t="s">
        <v>105</v>
      </c>
      <c r="B2" s="5">
        <v>45670</v>
      </c>
      <c r="C2" s="2" t="s">
        <v>106</v>
      </c>
      <c r="D2" s="2" t="s">
        <v>107</v>
      </c>
      <c r="E2" s="2" t="s">
        <v>108</v>
      </c>
      <c r="F2" s="6">
        <v>3.2</v>
      </c>
      <c r="G2" s="2" t="s">
        <v>40</v>
      </c>
      <c r="H2" s="2" t="s">
        <v>75</v>
      </c>
      <c r="I2" s="2" t="s">
        <v>109</v>
      </c>
      <c r="J2" s="2" t="s">
        <v>110</v>
      </c>
    </row>
    <row r="3" spans="1:10" ht="30" customHeight="1">
      <c r="A3" s="2" t="s">
        <v>111</v>
      </c>
      <c r="B3" s="5">
        <v>45658</v>
      </c>
      <c r="C3" s="2" t="s">
        <v>112</v>
      </c>
      <c r="D3" s="2" t="s">
        <v>113</v>
      </c>
      <c r="E3" s="2" t="s">
        <v>114</v>
      </c>
      <c r="F3" s="6">
        <v>24</v>
      </c>
      <c r="G3" s="2" t="s">
        <v>40</v>
      </c>
      <c r="H3" s="2" t="s">
        <v>75</v>
      </c>
      <c r="I3" s="2" t="s">
        <v>115</v>
      </c>
      <c r="J3" s="2" t="s">
        <v>116</v>
      </c>
    </row>
    <row r="4" spans="1:10" ht="30" customHeight="1">
      <c r="A4" s="2" t="s">
        <v>117</v>
      </c>
      <c r="B4" s="5">
        <v>45682</v>
      </c>
      <c r="C4" s="2" t="s">
        <v>118</v>
      </c>
      <c r="D4" s="2" t="s">
        <v>119</v>
      </c>
      <c r="E4" s="2" t="s">
        <v>114</v>
      </c>
      <c r="F4" s="6">
        <v>5.4</v>
      </c>
      <c r="G4" s="2" t="s">
        <v>49</v>
      </c>
      <c r="H4" s="2" t="s">
        <v>75</v>
      </c>
      <c r="I4" s="2" t="s">
        <v>115</v>
      </c>
      <c r="J4" s="2" t="s">
        <v>120</v>
      </c>
    </row>
    <row r="5" spans="1:10" ht="30" customHeight="1">
      <c r="A5" s="2" t="s">
        <v>121</v>
      </c>
      <c r="B5" s="5">
        <v>45682</v>
      </c>
      <c r="C5" s="2" t="s">
        <v>122</v>
      </c>
      <c r="D5" s="2" t="s">
        <v>107</v>
      </c>
      <c r="E5" s="2" t="s">
        <v>123</v>
      </c>
      <c r="F5" s="6">
        <v>14.6</v>
      </c>
      <c r="G5" s="2" t="s">
        <v>124</v>
      </c>
      <c r="H5" s="2" t="s">
        <v>44</v>
      </c>
      <c r="I5" s="2" t="s">
        <v>109</v>
      </c>
      <c r="J5" s="2" t="s">
        <v>125</v>
      </c>
    </row>
    <row r="6" spans="1:10" ht="30" customHeight="1">
      <c r="A6" s="2" t="s">
        <v>126</v>
      </c>
      <c r="B6" s="5">
        <v>45669</v>
      </c>
      <c r="C6" s="2" t="s">
        <v>112</v>
      </c>
      <c r="D6" s="2" t="s">
        <v>107</v>
      </c>
      <c r="E6" s="2" t="s">
        <v>127</v>
      </c>
      <c r="F6" s="6">
        <v>27.2</v>
      </c>
      <c r="G6" s="2" t="s">
        <v>49</v>
      </c>
      <c r="H6" s="2" t="s">
        <v>75</v>
      </c>
      <c r="I6" s="2" t="s">
        <v>128</v>
      </c>
      <c r="J6" s="2" t="s">
        <v>125</v>
      </c>
    </row>
    <row r="7" spans="1:10" ht="30" customHeight="1">
      <c r="A7" s="2" t="s">
        <v>129</v>
      </c>
      <c r="B7" s="5">
        <v>45661</v>
      </c>
      <c r="C7" s="2" t="s">
        <v>106</v>
      </c>
      <c r="D7" s="2" t="s">
        <v>107</v>
      </c>
      <c r="E7" s="2" t="s">
        <v>114</v>
      </c>
      <c r="F7" s="6">
        <v>15.2</v>
      </c>
      <c r="G7" s="2" t="s">
        <v>49</v>
      </c>
      <c r="H7" s="2" t="s">
        <v>75</v>
      </c>
      <c r="I7" s="2" t="s">
        <v>115</v>
      </c>
      <c r="J7" s="2" t="s">
        <v>120</v>
      </c>
    </row>
    <row r="8" spans="1:10" ht="30" customHeight="1">
      <c r="A8" s="2" t="s">
        <v>130</v>
      </c>
      <c r="B8" s="5">
        <v>45701</v>
      </c>
      <c r="C8" s="2" t="s">
        <v>112</v>
      </c>
      <c r="D8" s="2" t="s">
        <v>131</v>
      </c>
      <c r="E8" s="2" t="s">
        <v>127</v>
      </c>
      <c r="F8" s="6">
        <v>42.3</v>
      </c>
      <c r="G8" s="2" t="s">
        <v>124</v>
      </c>
      <c r="H8" s="2" t="s">
        <v>75</v>
      </c>
      <c r="I8" s="2" t="s">
        <v>128</v>
      </c>
      <c r="J8" s="2" t="s">
        <v>120</v>
      </c>
    </row>
    <row r="9" spans="1:10" ht="30" customHeight="1">
      <c r="A9" s="2" t="s">
        <v>132</v>
      </c>
      <c r="B9" s="5">
        <v>45693</v>
      </c>
      <c r="C9" s="2" t="s">
        <v>133</v>
      </c>
      <c r="D9" s="2" t="s">
        <v>134</v>
      </c>
      <c r="E9" s="2" t="s">
        <v>127</v>
      </c>
      <c r="F9" s="6">
        <v>33.4</v>
      </c>
      <c r="G9" s="2" t="s">
        <v>40</v>
      </c>
      <c r="H9" s="2" t="s">
        <v>44</v>
      </c>
      <c r="I9" s="2" t="s">
        <v>128</v>
      </c>
      <c r="J9" s="2" t="s">
        <v>110</v>
      </c>
    </row>
    <row r="10" spans="1:10" ht="30" customHeight="1">
      <c r="A10" s="2" t="s">
        <v>135</v>
      </c>
      <c r="B10" s="5">
        <v>45700</v>
      </c>
      <c r="C10" s="2" t="s">
        <v>112</v>
      </c>
      <c r="D10" s="2" t="s">
        <v>136</v>
      </c>
      <c r="E10" s="2" t="s">
        <v>114</v>
      </c>
      <c r="F10" s="6">
        <v>19.5</v>
      </c>
      <c r="G10" s="2" t="s">
        <v>40</v>
      </c>
      <c r="H10" s="2" t="s">
        <v>75</v>
      </c>
      <c r="I10" s="2" t="s">
        <v>115</v>
      </c>
      <c r="J10" s="2" t="s">
        <v>125</v>
      </c>
    </row>
    <row r="11" spans="1:10" ht="30" customHeight="1">
      <c r="A11" s="2" t="s">
        <v>137</v>
      </c>
      <c r="B11" s="5">
        <v>45692</v>
      </c>
      <c r="C11" s="2" t="s">
        <v>138</v>
      </c>
      <c r="D11" s="2" t="s">
        <v>119</v>
      </c>
      <c r="E11" s="2" t="s">
        <v>114</v>
      </c>
      <c r="F11" s="6">
        <v>27.5</v>
      </c>
      <c r="G11" s="2" t="s">
        <v>40</v>
      </c>
      <c r="H11" s="2" t="s">
        <v>44</v>
      </c>
      <c r="I11" s="2" t="s">
        <v>115</v>
      </c>
      <c r="J11" s="2" t="s">
        <v>110</v>
      </c>
    </row>
    <row r="12" spans="1:10" ht="30" customHeight="1">
      <c r="A12" s="2" t="s">
        <v>139</v>
      </c>
      <c r="B12" s="5">
        <v>45689</v>
      </c>
      <c r="C12" s="2" t="s">
        <v>133</v>
      </c>
      <c r="D12" s="2" t="s">
        <v>107</v>
      </c>
      <c r="E12" s="2" t="s">
        <v>127</v>
      </c>
      <c r="F12" s="6">
        <v>18.7</v>
      </c>
      <c r="G12" s="2" t="s">
        <v>124</v>
      </c>
      <c r="H12" s="2" t="s">
        <v>44</v>
      </c>
      <c r="I12" s="2" t="s">
        <v>128</v>
      </c>
      <c r="J12" s="2" t="s">
        <v>140</v>
      </c>
    </row>
    <row r="13" spans="1:10" ht="30" customHeight="1">
      <c r="A13" s="2" t="s">
        <v>141</v>
      </c>
      <c r="B13" s="5">
        <v>45709</v>
      </c>
      <c r="C13" s="2" t="s">
        <v>122</v>
      </c>
      <c r="D13" s="2" t="s">
        <v>113</v>
      </c>
      <c r="E13" s="2" t="s">
        <v>114</v>
      </c>
      <c r="F13" s="6">
        <v>7.3</v>
      </c>
      <c r="G13" s="2" t="s">
        <v>124</v>
      </c>
      <c r="H13" s="2" t="s">
        <v>44</v>
      </c>
      <c r="I13" s="2" t="s">
        <v>115</v>
      </c>
      <c r="J13" s="2" t="s">
        <v>125</v>
      </c>
    </row>
    <row r="14" spans="1:10" ht="30" customHeight="1">
      <c r="A14" s="2" t="s">
        <v>142</v>
      </c>
      <c r="B14" s="5">
        <v>45737</v>
      </c>
      <c r="C14" s="2" t="s">
        <v>133</v>
      </c>
      <c r="D14" s="2" t="s">
        <v>119</v>
      </c>
      <c r="E14" s="2" t="s">
        <v>114</v>
      </c>
      <c r="F14" s="6">
        <v>14.1</v>
      </c>
      <c r="G14" s="2" t="s">
        <v>40</v>
      </c>
      <c r="H14" s="2" t="s">
        <v>44</v>
      </c>
      <c r="I14" s="2" t="s">
        <v>115</v>
      </c>
      <c r="J14" s="2" t="s">
        <v>143</v>
      </c>
    </row>
    <row r="15" spans="1:10" ht="30" customHeight="1">
      <c r="A15" s="2" t="s">
        <v>144</v>
      </c>
      <c r="B15" s="5">
        <v>45735</v>
      </c>
      <c r="C15" s="2" t="s">
        <v>118</v>
      </c>
      <c r="D15" s="2" t="s">
        <v>107</v>
      </c>
      <c r="E15" s="2" t="s">
        <v>127</v>
      </c>
      <c r="F15" s="6">
        <v>44.8</v>
      </c>
      <c r="G15" s="2" t="s">
        <v>49</v>
      </c>
      <c r="H15" s="2" t="s">
        <v>75</v>
      </c>
      <c r="I15" s="2" t="s">
        <v>128</v>
      </c>
      <c r="J15" s="2" t="s">
        <v>110</v>
      </c>
    </row>
    <row r="16" spans="1:10" ht="30" customHeight="1">
      <c r="A16" s="2" t="s">
        <v>145</v>
      </c>
      <c r="B16" s="5">
        <v>45747</v>
      </c>
      <c r="C16" s="2" t="s">
        <v>138</v>
      </c>
      <c r="D16" s="2" t="s">
        <v>134</v>
      </c>
      <c r="E16" s="2" t="s">
        <v>114</v>
      </c>
      <c r="F16" s="6">
        <v>15.7</v>
      </c>
      <c r="G16" s="2" t="s">
        <v>49</v>
      </c>
      <c r="H16" s="2" t="s">
        <v>44</v>
      </c>
      <c r="I16" s="2" t="s">
        <v>115</v>
      </c>
      <c r="J16" s="2" t="s">
        <v>116</v>
      </c>
    </row>
    <row r="17" spans="1:10" ht="30" customHeight="1">
      <c r="A17" s="2" t="s">
        <v>146</v>
      </c>
      <c r="B17" s="5">
        <v>45740</v>
      </c>
      <c r="C17" s="2" t="s">
        <v>112</v>
      </c>
      <c r="D17" s="2" t="s">
        <v>113</v>
      </c>
      <c r="E17" s="2" t="s">
        <v>114</v>
      </c>
      <c r="F17" s="6">
        <v>23.4</v>
      </c>
      <c r="G17" s="2" t="s">
        <v>124</v>
      </c>
      <c r="H17" s="2" t="s">
        <v>75</v>
      </c>
      <c r="I17" s="2" t="s">
        <v>115</v>
      </c>
      <c r="J17" s="2" t="s">
        <v>140</v>
      </c>
    </row>
    <row r="18" spans="1:10" ht="30" customHeight="1">
      <c r="A18" s="2" t="s">
        <v>147</v>
      </c>
      <c r="B18" s="5">
        <v>45742</v>
      </c>
      <c r="C18" s="2" t="s">
        <v>138</v>
      </c>
      <c r="D18" s="2" t="s">
        <v>148</v>
      </c>
      <c r="E18" s="2" t="s">
        <v>114</v>
      </c>
      <c r="F18" s="6">
        <v>28.3</v>
      </c>
      <c r="G18" s="2" t="s">
        <v>49</v>
      </c>
      <c r="H18" s="2" t="s">
        <v>44</v>
      </c>
      <c r="I18" s="2" t="s">
        <v>115</v>
      </c>
      <c r="J18" s="2" t="s">
        <v>140</v>
      </c>
    </row>
    <row r="19" spans="1:10" ht="30" customHeight="1">
      <c r="A19" s="2" t="s">
        <v>149</v>
      </c>
      <c r="B19" s="5">
        <v>45733</v>
      </c>
      <c r="C19" s="2" t="s">
        <v>112</v>
      </c>
      <c r="D19" s="2" t="s">
        <v>134</v>
      </c>
      <c r="E19" s="2" t="s">
        <v>114</v>
      </c>
      <c r="F19" s="6">
        <v>19.3</v>
      </c>
      <c r="G19" s="2" t="s">
        <v>124</v>
      </c>
      <c r="H19" s="2" t="s">
        <v>75</v>
      </c>
      <c r="I19" s="2" t="s">
        <v>115</v>
      </c>
      <c r="J19" s="2" t="s">
        <v>143</v>
      </c>
    </row>
    <row r="20" spans="1:10" ht="30" customHeight="1">
      <c r="A20" s="2" t="s">
        <v>150</v>
      </c>
      <c r="B20" s="5">
        <v>45758</v>
      </c>
      <c r="C20" s="2" t="s">
        <v>138</v>
      </c>
      <c r="D20" s="2" t="s">
        <v>113</v>
      </c>
      <c r="E20" s="2" t="s">
        <v>114</v>
      </c>
      <c r="F20" s="6">
        <v>20.2</v>
      </c>
      <c r="G20" s="2" t="s">
        <v>124</v>
      </c>
      <c r="H20" s="2" t="s">
        <v>44</v>
      </c>
      <c r="I20" s="2" t="s">
        <v>115</v>
      </c>
      <c r="J20" s="2" t="s">
        <v>120</v>
      </c>
    </row>
    <row r="21" spans="1:10" ht="30" customHeight="1">
      <c r="A21" s="2" t="s">
        <v>151</v>
      </c>
      <c r="B21" s="5">
        <v>45756</v>
      </c>
      <c r="C21" s="2" t="s">
        <v>118</v>
      </c>
      <c r="D21" s="2" t="s">
        <v>148</v>
      </c>
      <c r="E21" s="2" t="s">
        <v>108</v>
      </c>
      <c r="F21" s="6">
        <v>2.7</v>
      </c>
      <c r="G21" s="2" t="s">
        <v>124</v>
      </c>
      <c r="H21" s="2" t="s">
        <v>75</v>
      </c>
      <c r="I21" s="2" t="s">
        <v>109</v>
      </c>
      <c r="J21" s="2" t="s">
        <v>152</v>
      </c>
    </row>
    <row r="22" spans="1:10" ht="30" customHeight="1">
      <c r="A22" s="2" t="s">
        <v>153</v>
      </c>
      <c r="B22" s="5">
        <v>45757</v>
      </c>
      <c r="C22" s="2" t="s">
        <v>122</v>
      </c>
      <c r="D22" s="2" t="s">
        <v>134</v>
      </c>
      <c r="E22" s="2" t="s">
        <v>123</v>
      </c>
      <c r="F22" s="6">
        <v>9.8000000000000007</v>
      </c>
      <c r="G22" s="2" t="s">
        <v>40</v>
      </c>
      <c r="H22" s="2" t="s">
        <v>44</v>
      </c>
      <c r="I22" s="2" t="s">
        <v>115</v>
      </c>
      <c r="J22" s="2" t="s">
        <v>154</v>
      </c>
    </row>
    <row r="23" spans="1:10" ht="30" customHeight="1">
      <c r="A23" s="2" t="s">
        <v>155</v>
      </c>
      <c r="B23" s="5">
        <v>45761</v>
      </c>
      <c r="C23" s="2" t="s">
        <v>118</v>
      </c>
      <c r="D23" s="2" t="s">
        <v>119</v>
      </c>
      <c r="E23" s="2" t="s">
        <v>114</v>
      </c>
      <c r="F23" s="6">
        <v>13.5</v>
      </c>
      <c r="G23" s="2" t="s">
        <v>40</v>
      </c>
      <c r="H23" s="2" t="s">
        <v>75</v>
      </c>
      <c r="I23" s="2" t="s">
        <v>115</v>
      </c>
      <c r="J23" s="2" t="s">
        <v>125</v>
      </c>
    </row>
    <row r="24" spans="1:10" ht="30" customHeight="1">
      <c r="A24" s="2" t="s">
        <v>156</v>
      </c>
      <c r="B24" s="5">
        <v>45755</v>
      </c>
      <c r="C24" s="2" t="s">
        <v>112</v>
      </c>
      <c r="D24" s="2" t="s">
        <v>148</v>
      </c>
      <c r="E24" s="2" t="s">
        <v>114</v>
      </c>
      <c r="F24" s="6">
        <v>16.2</v>
      </c>
      <c r="G24" s="2" t="s">
        <v>40</v>
      </c>
      <c r="H24" s="2" t="s">
        <v>75</v>
      </c>
      <c r="I24" s="2" t="s">
        <v>115</v>
      </c>
      <c r="J24" s="2" t="s">
        <v>125</v>
      </c>
    </row>
    <row r="25" spans="1:10" ht="30" customHeight="1">
      <c r="A25" s="2" t="s">
        <v>157</v>
      </c>
      <c r="B25" s="5">
        <v>45769</v>
      </c>
      <c r="C25" s="2" t="s">
        <v>112</v>
      </c>
      <c r="D25" s="2" t="s">
        <v>134</v>
      </c>
      <c r="E25" s="2" t="s">
        <v>114</v>
      </c>
      <c r="F25" s="6">
        <v>15</v>
      </c>
      <c r="G25" s="2" t="s">
        <v>49</v>
      </c>
      <c r="H25" s="2" t="s">
        <v>75</v>
      </c>
      <c r="I25" s="2" t="s">
        <v>115</v>
      </c>
      <c r="J25" s="2" t="s">
        <v>154</v>
      </c>
    </row>
    <row r="26" spans="1:10" ht="30" customHeight="1">
      <c r="A26" s="2" t="s">
        <v>158</v>
      </c>
      <c r="B26" s="5">
        <v>45790</v>
      </c>
      <c r="C26" s="2" t="s">
        <v>133</v>
      </c>
      <c r="D26" s="2" t="s">
        <v>107</v>
      </c>
      <c r="E26" s="2" t="s">
        <v>123</v>
      </c>
      <c r="F26" s="6">
        <v>4.3</v>
      </c>
      <c r="G26" s="2" t="s">
        <v>124</v>
      </c>
      <c r="H26" s="2" t="s">
        <v>44</v>
      </c>
      <c r="I26" s="2" t="s">
        <v>109</v>
      </c>
      <c r="J26" s="2" t="s">
        <v>154</v>
      </c>
    </row>
    <row r="27" spans="1:10" ht="30" customHeight="1">
      <c r="A27" s="2" t="s">
        <v>159</v>
      </c>
      <c r="B27" s="5">
        <v>45779</v>
      </c>
      <c r="C27" s="2" t="s">
        <v>138</v>
      </c>
      <c r="D27" s="2" t="s">
        <v>113</v>
      </c>
      <c r="E27" s="2" t="s">
        <v>114</v>
      </c>
      <c r="F27" s="6">
        <v>8.5</v>
      </c>
      <c r="G27" s="2" t="s">
        <v>124</v>
      </c>
      <c r="H27" s="2" t="s">
        <v>44</v>
      </c>
      <c r="I27" s="2" t="s">
        <v>115</v>
      </c>
      <c r="J27" s="2" t="s">
        <v>154</v>
      </c>
    </row>
    <row r="28" spans="1:10" ht="30" customHeight="1">
      <c r="A28" s="2" t="s">
        <v>160</v>
      </c>
      <c r="B28" s="5">
        <v>45794</v>
      </c>
      <c r="C28" s="2" t="s">
        <v>133</v>
      </c>
      <c r="D28" s="2" t="s">
        <v>148</v>
      </c>
      <c r="E28" s="2" t="s">
        <v>114</v>
      </c>
      <c r="F28" s="6">
        <v>25.1</v>
      </c>
      <c r="G28" s="2" t="s">
        <v>124</v>
      </c>
      <c r="H28" s="2" t="s">
        <v>44</v>
      </c>
      <c r="I28" s="2" t="s">
        <v>115</v>
      </c>
      <c r="J28" s="2" t="s">
        <v>120</v>
      </c>
    </row>
    <row r="29" spans="1:10" ht="30" customHeight="1">
      <c r="A29" s="2" t="s">
        <v>161</v>
      </c>
      <c r="B29" s="5">
        <v>45790</v>
      </c>
      <c r="C29" s="2" t="s">
        <v>106</v>
      </c>
      <c r="D29" s="2" t="s">
        <v>148</v>
      </c>
      <c r="E29" s="2" t="s">
        <v>127</v>
      </c>
      <c r="F29" s="6">
        <v>42.8</v>
      </c>
      <c r="G29" s="2" t="s">
        <v>40</v>
      </c>
      <c r="H29" s="2" t="s">
        <v>75</v>
      </c>
      <c r="I29" s="2" t="s">
        <v>128</v>
      </c>
      <c r="J29" s="2" t="s">
        <v>125</v>
      </c>
    </row>
    <row r="30" spans="1:10" ht="30" customHeight="1">
      <c r="A30" s="2" t="s">
        <v>162</v>
      </c>
      <c r="B30" s="5">
        <v>45784</v>
      </c>
      <c r="C30" s="2" t="s">
        <v>122</v>
      </c>
      <c r="D30" s="2" t="s">
        <v>113</v>
      </c>
      <c r="E30" s="2" t="s">
        <v>127</v>
      </c>
      <c r="F30" s="6">
        <v>8.1999999999999993</v>
      </c>
      <c r="G30" s="2" t="s">
        <v>40</v>
      </c>
      <c r="H30" s="2" t="s">
        <v>44</v>
      </c>
      <c r="I30" s="2" t="s">
        <v>128</v>
      </c>
      <c r="J30" s="2" t="s">
        <v>120</v>
      </c>
    </row>
    <row r="31" spans="1:10" ht="30" customHeight="1">
      <c r="A31" s="2" t="s">
        <v>163</v>
      </c>
      <c r="B31" s="5">
        <v>45788</v>
      </c>
      <c r="C31" s="2" t="s">
        <v>118</v>
      </c>
      <c r="D31" s="2" t="s">
        <v>134</v>
      </c>
      <c r="E31" s="2" t="s">
        <v>114</v>
      </c>
      <c r="F31" s="6">
        <v>9.1999999999999993</v>
      </c>
      <c r="G31" s="2" t="s">
        <v>124</v>
      </c>
      <c r="H31" s="2" t="s">
        <v>75</v>
      </c>
      <c r="I31" s="2" t="s">
        <v>115</v>
      </c>
      <c r="J31" s="2" t="s">
        <v>120</v>
      </c>
    </row>
    <row r="32" spans="1:10" ht="30" customHeight="1">
      <c r="A32" s="2" t="s">
        <v>164</v>
      </c>
      <c r="B32" s="5">
        <v>45814</v>
      </c>
      <c r="C32" s="2" t="s">
        <v>106</v>
      </c>
      <c r="D32" s="2" t="s">
        <v>107</v>
      </c>
      <c r="E32" s="2" t="s">
        <v>114</v>
      </c>
      <c r="F32" s="6">
        <v>16.399999999999999</v>
      </c>
      <c r="G32" s="2" t="s">
        <v>124</v>
      </c>
      <c r="H32" s="2" t="s">
        <v>75</v>
      </c>
      <c r="I32" s="2" t="s">
        <v>115</v>
      </c>
      <c r="J32" s="2" t="s">
        <v>140</v>
      </c>
    </row>
    <row r="33" spans="1:10" ht="30" customHeight="1">
      <c r="A33" s="2" t="s">
        <v>165</v>
      </c>
      <c r="B33" s="5">
        <v>45809</v>
      </c>
      <c r="C33" s="2" t="s">
        <v>133</v>
      </c>
      <c r="D33" s="2" t="s">
        <v>131</v>
      </c>
      <c r="E33" s="2" t="s">
        <v>123</v>
      </c>
      <c r="F33" s="6">
        <v>7.4</v>
      </c>
      <c r="G33" s="2" t="s">
        <v>40</v>
      </c>
      <c r="H33" s="2" t="s">
        <v>44</v>
      </c>
      <c r="I33" s="2" t="s">
        <v>115</v>
      </c>
      <c r="J33" s="2" t="s">
        <v>166</v>
      </c>
    </row>
    <row r="34" spans="1:10" ht="30" customHeight="1">
      <c r="A34" s="2" t="s">
        <v>167</v>
      </c>
      <c r="B34" s="5">
        <v>45818</v>
      </c>
      <c r="C34" s="2" t="s">
        <v>133</v>
      </c>
      <c r="D34" s="2" t="s">
        <v>136</v>
      </c>
      <c r="E34" s="2" t="s">
        <v>127</v>
      </c>
      <c r="F34" s="6">
        <v>15.3</v>
      </c>
      <c r="G34" s="2" t="s">
        <v>49</v>
      </c>
      <c r="H34" s="2" t="s">
        <v>44</v>
      </c>
      <c r="I34" s="2" t="s">
        <v>128</v>
      </c>
      <c r="J34" s="2" t="s">
        <v>166</v>
      </c>
    </row>
    <row r="35" spans="1:10" ht="30" customHeight="1">
      <c r="A35" s="2" t="s">
        <v>168</v>
      </c>
      <c r="B35" s="5">
        <v>45830</v>
      </c>
      <c r="C35" s="2" t="s">
        <v>106</v>
      </c>
      <c r="D35" s="2" t="s">
        <v>131</v>
      </c>
      <c r="E35" s="2" t="s">
        <v>114</v>
      </c>
      <c r="F35" s="6">
        <v>26</v>
      </c>
      <c r="G35" s="2" t="s">
        <v>124</v>
      </c>
      <c r="H35" s="2" t="s">
        <v>75</v>
      </c>
      <c r="I35" s="2" t="s">
        <v>115</v>
      </c>
      <c r="J35" s="2" t="s">
        <v>166</v>
      </c>
    </row>
    <row r="36" spans="1:10" ht="30" customHeight="1">
      <c r="A36" s="2" t="s">
        <v>169</v>
      </c>
      <c r="B36" s="5">
        <v>45836</v>
      </c>
      <c r="C36" s="2" t="s">
        <v>112</v>
      </c>
      <c r="D36" s="2" t="s">
        <v>131</v>
      </c>
      <c r="E36" s="2" t="s">
        <v>114</v>
      </c>
      <c r="F36" s="6">
        <v>10.6</v>
      </c>
      <c r="G36" s="2" t="s">
        <v>49</v>
      </c>
      <c r="H36" s="2" t="s">
        <v>75</v>
      </c>
      <c r="I36" s="2" t="s">
        <v>115</v>
      </c>
      <c r="J36" s="2" t="s">
        <v>125</v>
      </c>
    </row>
    <row r="37" spans="1:10" ht="30" customHeight="1">
      <c r="A37" s="2" t="s">
        <v>170</v>
      </c>
      <c r="B37" s="5">
        <v>45834</v>
      </c>
      <c r="C37" s="2" t="s">
        <v>138</v>
      </c>
      <c r="D37" s="2" t="s">
        <v>134</v>
      </c>
      <c r="E37" s="2" t="s">
        <v>114</v>
      </c>
      <c r="F37" s="6">
        <v>25.4</v>
      </c>
      <c r="G37" s="2" t="s">
        <v>124</v>
      </c>
      <c r="H37" s="2" t="s">
        <v>44</v>
      </c>
      <c r="I37" s="2" t="s">
        <v>115</v>
      </c>
      <c r="J37" s="2" t="s">
        <v>152</v>
      </c>
    </row>
    <row r="38" spans="1:10" ht="30" customHeight="1">
      <c r="A38" s="2" t="s">
        <v>171</v>
      </c>
      <c r="B38" s="5">
        <v>45845</v>
      </c>
      <c r="C38" s="2" t="s">
        <v>138</v>
      </c>
      <c r="D38" s="2" t="s">
        <v>148</v>
      </c>
      <c r="E38" s="2" t="s">
        <v>114</v>
      </c>
      <c r="F38" s="6">
        <v>5.5</v>
      </c>
      <c r="G38" s="2" t="s">
        <v>124</v>
      </c>
      <c r="H38" s="2" t="s">
        <v>44</v>
      </c>
      <c r="I38" s="2" t="s">
        <v>115</v>
      </c>
      <c r="J38" s="2" t="s">
        <v>120</v>
      </c>
    </row>
    <row r="39" spans="1:10" ht="30" customHeight="1">
      <c r="A39" s="2" t="s">
        <v>172</v>
      </c>
      <c r="B39" s="5">
        <v>45849</v>
      </c>
      <c r="C39" s="2" t="s">
        <v>138</v>
      </c>
      <c r="D39" s="2" t="s">
        <v>136</v>
      </c>
      <c r="E39" s="2" t="s">
        <v>127</v>
      </c>
      <c r="F39" s="6">
        <v>45.5</v>
      </c>
      <c r="G39" s="2" t="s">
        <v>124</v>
      </c>
      <c r="H39" s="2" t="s">
        <v>44</v>
      </c>
      <c r="I39" s="2" t="s">
        <v>128</v>
      </c>
      <c r="J39" s="2" t="s">
        <v>120</v>
      </c>
    </row>
    <row r="40" spans="1:10" ht="30" customHeight="1">
      <c r="A40" s="2" t="s">
        <v>173</v>
      </c>
      <c r="B40" s="5">
        <v>45848</v>
      </c>
      <c r="C40" s="2" t="s">
        <v>106</v>
      </c>
      <c r="D40" s="2" t="s">
        <v>136</v>
      </c>
      <c r="E40" s="2" t="s">
        <v>114</v>
      </c>
      <c r="F40" s="6">
        <v>11.5</v>
      </c>
      <c r="G40" s="2" t="s">
        <v>124</v>
      </c>
      <c r="H40" s="2" t="s">
        <v>75</v>
      </c>
      <c r="I40" s="2" t="s">
        <v>115</v>
      </c>
      <c r="J40" s="2" t="s">
        <v>120</v>
      </c>
    </row>
    <row r="41" spans="1:10" ht="30" customHeight="1">
      <c r="A41" s="2" t="s">
        <v>174</v>
      </c>
      <c r="B41" s="5">
        <v>45850</v>
      </c>
      <c r="C41" s="2" t="s">
        <v>106</v>
      </c>
      <c r="D41" s="2" t="s">
        <v>148</v>
      </c>
      <c r="E41" s="2" t="s">
        <v>114</v>
      </c>
      <c r="F41" s="6">
        <v>24.9</v>
      </c>
      <c r="G41" s="2" t="s">
        <v>124</v>
      </c>
      <c r="H41" s="2" t="s">
        <v>75</v>
      </c>
      <c r="I41" s="2" t="s">
        <v>115</v>
      </c>
      <c r="J41" s="2" t="s">
        <v>120</v>
      </c>
    </row>
    <row r="42" spans="1:10" ht="30" customHeight="1">
      <c r="A42" s="2" t="s">
        <v>175</v>
      </c>
      <c r="B42" s="5">
        <v>45854</v>
      </c>
      <c r="C42" s="2" t="s">
        <v>138</v>
      </c>
      <c r="D42" s="2" t="s">
        <v>119</v>
      </c>
      <c r="E42" s="2" t="s">
        <v>114</v>
      </c>
      <c r="F42" s="6">
        <v>10.199999999999999</v>
      </c>
      <c r="G42" s="2" t="s">
        <v>124</v>
      </c>
      <c r="H42" s="2" t="s">
        <v>44</v>
      </c>
      <c r="I42" s="2" t="s">
        <v>115</v>
      </c>
      <c r="J42" s="2" t="s">
        <v>140</v>
      </c>
    </row>
    <row r="43" spans="1:10" ht="30" customHeight="1">
      <c r="A43" s="2" t="s">
        <v>176</v>
      </c>
      <c r="B43" s="5">
        <v>45844</v>
      </c>
      <c r="C43" s="2" t="s">
        <v>138</v>
      </c>
      <c r="D43" s="2" t="s">
        <v>148</v>
      </c>
      <c r="E43" s="2" t="s">
        <v>114</v>
      </c>
      <c r="F43" s="6"/>
      <c r="G43" s="2" t="s">
        <v>71</v>
      </c>
      <c r="H43" s="2" t="s">
        <v>44</v>
      </c>
      <c r="I43" s="2" t="s">
        <v>115</v>
      </c>
      <c r="J43" s="2" t="s">
        <v>154</v>
      </c>
    </row>
    <row r="44" spans="1:10" ht="30" customHeight="1">
      <c r="A44" s="2" t="s">
        <v>177</v>
      </c>
      <c r="B44" s="5">
        <v>45871</v>
      </c>
      <c r="C44" s="2" t="s">
        <v>133</v>
      </c>
      <c r="D44" s="2" t="s">
        <v>119</v>
      </c>
      <c r="E44" s="2" t="s">
        <v>114</v>
      </c>
      <c r="F44" s="6">
        <v>23.2</v>
      </c>
      <c r="G44" s="2" t="s">
        <v>124</v>
      </c>
      <c r="H44" s="2" t="s">
        <v>44</v>
      </c>
      <c r="I44" s="2" t="s">
        <v>115</v>
      </c>
      <c r="J44" s="2" t="s">
        <v>125</v>
      </c>
    </row>
    <row r="45" spans="1:10" ht="30" customHeight="1">
      <c r="A45" s="2" t="s">
        <v>178</v>
      </c>
      <c r="B45" s="5">
        <v>45871</v>
      </c>
      <c r="C45" s="2" t="s">
        <v>138</v>
      </c>
      <c r="D45" s="2" t="s">
        <v>148</v>
      </c>
      <c r="E45" s="2" t="s">
        <v>114</v>
      </c>
      <c r="F45" s="6">
        <v>17.100000000000001</v>
      </c>
      <c r="G45" s="2" t="s">
        <v>124</v>
      </c>
      <c r="H45" s="2" t="s">
        <v>44</v>
      </c>
      <c r="I45" s="2" t="s">
        <v>115</v>
      </c>
      <c r="J45" s="2" t="s">
        <v>143</v>
      </c>
    </row>
    <row r="46" spans="1:10" ht="30" customHeight="1">
      <c r="A46" s="2" t="s">
        <v>179</v>
      </c>
      <c r="B46" s="5">
        <v>45872</v>
      </c>
      <c r="C46" s="2" t="s">
        <v>122</v>
      </c>
      <c r="D46" s="2" t="s">
        <v>107</v>
      </c>
      <c r="E46" s="2" t="s">
        <v>114</v>
      </c>
      <c r="F46" s="6">
        <v>6.7</v>
      </c>
      <c r="G46" s="2" t="s">
        <v>124</v>
      </c>
      <c r="H46" s="2" t="s">
        <v>44</v>
      </c>
      <c r="I46" s="2" t="s">
        <v>115</v>
      </c>
      <c r="J46" s="2" t="s">
        <v>125</v>
      </c>
    </row>
    <row r="47" spans="1:10" ht="30" customHeight="1">
      <c r="A47" s="2" t="s">
        <v>180</v>
      </c>
      <c r="B47" s="5">
        <v>45880</v>
      </c>
      <c r="C47" s="2" t="s">
        <v>106</v>
      </c>
      <c r="D47" s="2" t="s">
        <v>131</v>
      </c>
      <c r="E47" s="2" t="s">
        <v>108</v>
      </c>
      <c r="F47" s="6">
        <v>2.5</v>
      </c>
      <c r="G47" s="2" t="s">
        <v>124</v>
      </c>
      <c r="H47" s="2" t="s">
        <v>75</v>
      </c>
      <c r="I47" s="2" t="s">
        <v>109</v>
      </c>
      <c r="J47" s="2" t="s">
        <v>110</v>
      </c>
    </row>
    <row r="48" spans="1:10" ht="30" customHeight="1">
      <c r="A48" s="2" t="s">
        <v>181</v>
      </c>
      <c r="B48" s="5">
        <v>45884</v>
      </c>
      <c r="C48" s="2" t="s">
        <v>133</v>
      </c>
      <c r="D48" s="2" t="s">
        <v>131</v>
      </c>
      <c r="E48" s="2" t="s">
        <v>114</v>
      </c>
      <c r="F48" s="6">
        <v>10</v>
      </c>
      <c r="G48" s="2" t="s">
        <v>49</v>
      </c>
      <c r="H48" s="2" t="s">
        <v>44</v>
      </c>
      <c r="I48" s="2" t="s">
        <v>115</v>
      </c>
      <c r="J48" s="2" t="s">
        <v>120</v>
      </c>
    </row>
    <row r="49" spans="1:10" ht="30" customHeight="1">
      <c r="A49" s="2" t="s">
        <v>182</v>
      </c>
      <c r="B49" s="5">
        <v>45882</v>
      </c>
      <c r="C49" s="2" t="s">
        <v>138</v>
      </c>
      <c r="D49" s="2" t="s">
        <v>148</v>
      </c>
      <c r="E49" s="2" t="s">
        <v>114</v>
      </c>
      <c r="F49" s="6">
        <v>17.100000000000001</v>
      </c>
      <c r="G49" s="2" t="s">
        <v>124</v>
      </c>
      <c r="H49" s="2" t="s">
        <v>44</v>
      </c>
      <c r="I49" s="2" t="s">
        <v>115</v>
      </c>
      <c r="J49" s="2" t="s">
        <v>116</v>
      </c>
    </row>
    <row r="50" spans="1:10" ht="30" customHeight="1">
      <c r="A50" s="2" t="s">
        <v>183</v>
      </c>
      <c r="B50" s="5">
        <v>45922</v>
      </c>
      <c r="C50" s="2" t="s">
        <v>122</v>
      </c>
      <c r="D50" s="2" t="s">
        <v>148</v>
      </c>
      <c r="E50" s="2" t="s">
        <v>127</v>
      </c>
      <c r="F50" s="6">
        <v>26.2</v>
      </c>
      <c r="G50" s="2" t="s">
        <v>40</v>
      </c>
      <c r="H50" s="2" t="s">
        <v>44</v>
      </c>
      <c r="I50" s="2" t="s">
        <v>128</v>
      </c>
      <c r="J50" s="2" t="s">
        <v>125</v>
      </c>
    </row>
    <row r="51" spans="1:10" ht="30" customHeight="1">
      <c r="A51" s="2" t="s">
        <v>184</v>
      </c>
      <c r="B51" s="5">
        <v>45920</v>
      </c>
      <c r="C51" s="2" t="s">
        <v>122</v>
      </c>
      <c r="D51" s="2" t="s">
        <v>113</v>
      </c>
      <c r="E51" s="2" t="s">
        <v>114</v>
      </c>
      <c r="F51" s="6">
        <v>28</v>
      </c>
      <c r="G51" s="2" t="s">
        <v>124</v>
      </c>
      <c r="H51" s="2" t="s">
        <v>44</v>
      </c>
      <c r="I51" s="2" t="s">
        <v>115</v>
      </c>
      <c r="J51" s="2" t="s">
        <v>120</v>
      </c>
    </row>
    <row r="52" spans="1:10" ht="30" customHeight="1">
      <c r="A52" s="2" t="s">
        <v>185</v>
      </c>
      <c r="B52" s="5">
        <v>45909</v>
      </c>
      <c r="C52" s="2" t="s">
        <v>133</v>
      </c>
      <c r="D52" s="2" t="s">
        <v>131</v>
      </c>
      <c r="E52" s="2" t="s">
        <v>123</v>
      </c>
      <c r="F52" s="6">
        <v>3.4</v>
      </c>
      <c r="G52" s="2" t="s">
        <v>124</v>
      </c>
      <c r="H52" s="2" t="s">
        <v>44</v>
      </c>
      <c r="I52" s="2" t="s">
        <v>115</v>
      </c>
      <c r="J52" s="2" t="s">
        <v>116</v>
      </c>
    </row>
    <row r="53" spans="1:10" ht="30" customHeight="1">
      <c r="A53" s="2" t="s">
        <v>186</v>
      </c>
      <c r="B53" s="5">
        <v>45911</v>
      </c>
      <c r="C53" s="2" t="s">
        <v>106</v>
      </c>
      <c r="D53" s="2" t="s">
        <v>131</v>
      </c>
      <c r="E53" s="2" t="s">
        <v>127</v>
      </c>
      <c r="F53" s="6">
        <v>18.3</v>
      </c>
      <c r="G53" s="2" t="s">
        <v>124</v>
      </c>
      <c r="H53" s="2" t="s">
        <v>75</v>
      </c>
      <c r="I53" s="2" t="s">
        <v>128</v>
      </c>
      <c r="J53" s="2" t="s">
        <v>116</v>
      </c>
    </row>
    <row r="54" spans="1:10" ht="30" customHeight="1">
      <c r="A54" s="2" t="s">
        <v>187</v>
      </c>
      <c r="B54" s="5">
        <v>45926</v>
      </c>
      <c r="C54" s="2" t="s">
        <v>138</v>
      </c>
      <c r="D54" s="2" t="s">
        <v>134</v>
      </c>
      <c r="E54" s="2" t="s">
        <v>114</v>
      </c>
      <c r="F54" s="6">
        <v>19.100000000000001</v>
      </c>
      <c r="G54" s="2" t="s">
        <v>49</v>
      </c>
      <c r="H54" s="2" t="s">
        <v>44</v>
      </c>
      <c r="I54" s="2" t="s">
        <v>115</v>
      </c>
      <c r="J54" s="2" t="s">
        <v>120</v>
      </c>
    </row>
    <row r="55" spans="1:10" ht="30" customHeight="1">
      <c r="A55" s="2" t="s">
        <v>188</v>
      </c>
      <c r="B55" s="5">
        <v>45920</v>
      </c>
      <c r="C55" s="2" t="s">
        <v>118</v>
      </c>
      <c r="D55" s="2" t="s">
        <v>136</v>
      </c>
      <c r="E55" s="2" t="s">
        <v>114</v>
      </c>
      <c r="F55" s="6">
        <v>20.5</v>
      </c>
      <c r="G55" s="2" t="s">
        <v>124</v>
      </c>
      <c r="H55" s="2" t="s">
        <v>75</v>
      </c>
      <c r="I55" s="2" t="s">
        <v>115</v>
      </c>
      <c r="J55" s="2" t="s">
        <v>125</v>
      </c>
    </row>
    <row r="56" spans="1:10" ht="30" customHeight="1">
      <c r="A56" s="2" t="s">
        <v>189</v>
      </c>
      <c r="B56" s="5">
        <v>45952</v>
      </c>
      <c r="C56" s="2" t="s">
        <v>106</v>
      </c>
      <c r="D56" s="2" t="s">
        <v>107</v>
      </c>
      <c r="E56" s="2" t="s">
        <v>127</v>
      </c>
      <c r="F56" s="6">
        <v>27.1</v>
      </c>
      <c r="G56" s="2" t="s">
        <v>124</v>
      </c>
      <c r="H56" s="2" t="s">
        <v>75</v>
      </c>
      <c r="I56" s="2" t="s">
        <v>128</v>
      </c>
      <c r="J56" s="2" t="s">
        <v>154</v>
      </c>
    </row>
    <row r="57" spans="1:10" ht="30" customHeight="1">
      <c r="A57" s="2" t="s">
        <v>190</v>
      </c>
      <c r="B57" s="5">
        <v>45942</v>
      </c>
      <c r="C57" s="2" t="s">
        <v>118</v>
      </c>
      <c r="D57" s="2" t="s">
        <v>148</v>
      </c>
      <c r="E57" s="2" t="s">
        <v>123</v>
      </c>
      <c r="F57" s="6">
        <v>4.5999999999999996</v>
      </c>
      <c r="G57" s="2" t="s">
        <v>124</v>
      </c>
      <c r="H57" s="2" t="s">
        <v>75</v>
      </c>
      <c r="I57" s="2" t="s">
        <v>109</v>
      </c>
      <c r="J57" s="2" t="s">
        <v>120</v>
      </c>
    </row>
    <row r="58" spans="1:10" ht="30" customHeight="1">
      <c r="A58" s="2" t="s">
        <v>191</v>
      </c>
      <c r="B58" s="5">
        <v>45947</v>
      </c>
      <c r="C58" s="2" t="s">
        <v>133</v>
      </c>
      <c r="D58" s="2" t="s">
        <v>107</v>
      </c>
      <c r="E58" s="2" t="s">
        <v>114</v>
      </c>
      <c r="F58" s="6">
        <v>16.5</v>
      </c>
      <c r="G58" s="2" t="s">
        <v>124</v>
      </c>
      <c r="H58" s="2" t="s">
        <v>44</v>
      </c>
      <c r="I58" s="2" t="s">
        <v>115</v>
      </c>
      <c r="J58" s="2" t="s">
        <v>143</v>
      </c>
    </row>
    <row r="59" spans="1:10" ht="30" customHeight="1">
      <c r="A59" s="2" t="s">
        <v>192</v>
      </c>
      <c r="B59" s="5">
        <v>45951</v>
      </c>
      <c r="C59" s="2" t="s">
        <v>106</v>
      </c>
      <c r="D59" s="2" t="s">
        <v>113</v>
      </c>
      <c r="E59" s="2" t="s">
        <v>114</v>
      </c>
      <c r="F59" s="6">
        <v>8.1999999999999993</v>
      </c>
      <c r="G59" s="2" t="s">
        <v>49</v>
      </c>
      <c r="H59" s="2" t="s">
        <v>75</v>
      </c>
      <c r="I59" s="2" t="s">
        <v>115</v>
      </c>
      <c r="J59" s="2" t="s">
        <v>166</v>
      </c>
    </row>
    <row r="60" spans="1:10" ht="30" customHeight="1">
      <c r="A60" s="2" t="s">
        <v>193</v>
      </c>
      <c r="B60" s="5">
        <v>45947</v>
      </c>
      <c r="C60" s="2" t="s">
        <v>106</v>
      </c>
      <c r="D60" s="2" t="s">
        <v>131</v>
      </c>
      <c r="E60" s="2" t="s">
        <v>108</v>
      </c>
      <c r="F60" s="6">
        <v>4.2</v>
      </c>
      <c r="G60" s="2" t="s">
        <v>124</v>
      </c>
      <c r="H60" s="2" t="s">
        <v>75</v>
      </c>
      <c r="I60" s="2" t="s">
        <v>109</v>
      </c>
      <c r="J60" s="2" t="s">
        <v>120</v>
      </c>
    </row>
    <row r="61" spans="1:10" ht="30" customHeight="1">
      <c r="A61" s="2" t="s">
        <v>194</v>
      </c>
      <c r="B61" s="5">
        <v>45944</v>
      </c>
      <c r="C61" s="2" t="s">
        <v>133</v>
      </c>
      <c r="D61" s="2" t="s">
        <v>134</v>
      </c>
      <c r="E61" s="2" t="s">
        <v>114</v>
      </c>
      <c r="F61" s="6">
        <v>15.4</v>
      </c>
      <c r="G61" s="2" t="s">
        <v>124</v>
      </c>
      <c r="H61" s="2" t="s">
        <v>44</v>
      </c>
      <c r="I61" s="2" t="s">
        <v>115</v>
      </c>
      <c r="J61" s="2" t="s">
        <v>143</v>
      </c>
    </row>
    <row r="62" spans="1:10" ht="30" customHeight="1">
      <c r="A62" s="2" t="s">
        <v>195</v>
      </c>
      <c r="B62" s="5">
        <v>45978</v>
      </c>
      <c r="C62" s="2" t="s">
        <v>118</v>
      </c>
      <c r="D62" s="2" t="s">
        <v>119</v>
      </c>
      <c r="E62" s="2" t="s">
        <v>123</v>
      </c>
      <c r="F62" s="6">
        <v>13.3</v>
      </c>
      <c r="G62" s="2" t="s">
        <v>40</v>
      </c>
      <c r="H62" s="2" t="s">
        <v>75</v>
      </c>
      <c r="I62" s="2" t="s">
        <v>115</v>
      </c>
      <c r="J62" s="2" t="s">
        <v>152</v>
      </c>
    </row>
    <row r="63" spans="1:10" ht="30" customHeight="1">
      <c r="A63" s="2" t="s">
        <v>196</v>
      </c>
      <c r="B63" s="5">
        <v>45967</v>
      </c>
      <c r="C63" s="2" t="s">
        <v>112</v>
      </c>
      <c r="D63" s="2" t="s">
        <v>107</v>
      </c>
      <c r="E63" s="2" t="s">
        <v>114</v>
      </c>
      <c r="F63" s="6">
        <v>16.399999999999999</v>
      </c>
      <c r="G63" s="2" t="s">
        <v>49</v>
      </c>
      <c r="H63" s="2" t="s">
        <v>75</v>
      </c>
      <c r="I63" s="2" t="s">
        <v>115</v>
      </c>
      <c r="J63" s="2" t="s">
        <v>152</v>
      </c>
    </row>
    <row r="64" spans="1:10" ht="30" customHeight="1">
      <c r="A64" s="2" t="s">
        <v>197</v>
      </c>
      <c r="B64" s="5">
        <v>45991</v>
      </c>
      <c r="C64" s="2" t="s">
        <v>106</v>
      </c>
      <c r="D64" s="2" t="s">
        <v>136</v>
      </c>
      <c r="E64" s="2" t="s">
        <v>123</v>
      </c>
      <c r="F64" s="6">
        <v>4.3</v>
      </c>
      <c r="G64" s="2" t="s">
        <v>49</v>
      </c>
      <c r="H64" s="2" t="s">
        <v>75</v>
      </c>
      <c r="I64" s="2" t="s">
        <v>115</v>
      </c>
      <c r="J64" s="2" t="s">
        <v>116</v>
      </c>
    </row>
    <row r="65" spans="1:10" ht="30" customHeight="1">
      <c r="A65" s="2" t="s">
        <v>198</v>
      </c>
      <c r="B65" s="5">
        <v>45990</v>
      </c>
      <c r="C65" s="2" t="s">
        <v>106</v>
      </c>
      <c r="D65" s="2" t="s">
        <v>134</v>
      </c>
      <c r="E65" s="2" t="s">
        <v>114</v>
      </c>
      <c r="F65" s="6">
        <v>10.1</v>
      </c>
      <c r="G65" s="2" t="s">
        <v>124</v>
      </c>
      <c r="H65" s="2" t="s">
        <v>75</v>
      </c>
      <c r="I65" s="2" t="s">
        <v>115</v>
      </c>
      <c r="J65" s="2" t="s">
        <v>154</v>
      </c>
    </row>
    <row r="66" spans="1:10" ht="30" customHeight="1">
      <c r="A66" s="2" t="s">
        <v>199</v>
      </c>
      <c r="B66" s="5">
        <v>45975</v>
      </c>
      <c r="C66" s="2" t="s">
        <v>133</v>
      </c>
      <c r="D66" s="2" t="s">
        <v>131</v>
      </c>
      <c r="E66" s="2" t="s">
        <v>114</v>
      </c>
      <c r="F66" s="6">
        <v>13.7</v>
      </c>
      <c r="G66" s="2" t="s">
        <v>124</v>
      </c>
      <c r="H66" s="2" t="s">
        <v>44</v>
      </c>
      <c r="I66" s="2" t="s">
        <v>115</v>
      </c>
      <c r="J66" s="2" t="s">
        <v>143</v>
      </c>
    </row>
    <row r="67" spans="1:10" ht="30" customHeight="1">
      <c r="A67" s="2" t="s">
        <v>200</v>
      </c>
      <c r="B67" s="5">
        <v>45989</v>
      </c>
      <c r="C67" s="2" t="s">
        <v>112</v>
      </c>
      <c r="D67" s="2" t="s">
        <v>119</v>
      </c>
      <c r="E67" s="2" t="s">
        <v>127</v>
      </c>
      <c r="F67" s="6"/>
      <c r="G67" s="2" t="s">
        <v>71</v>
      </c>
      <c r="H67" s="2" t="s">
        <v>75</v>
      </c>
      <c r="I67" s="2" t="s">
        <v>128</v>
      </c>
      <c r="J67" s="2" t="s">
        <v>154</v>
      </c>
    </row>
    <row r="68" spans="1:10" ht="30" customHeight="1">
      <c r="A68" s="2" t="s">
        <v>201</v>
      </c>
      <c r="B68" s="5">
        <v>46002</v>
      </c>
      <c r="C68" s="2" t="s">
        <v>118</v>
      </c>
      <c r="D68" s="2" t="s">
        <v>119</v>
      </c>
      <c r="E68" s="2" t="s">
        <v>114</v>
      </c>
      <c r="F68" s="6">
        <v>26.4</v>
      </c>
      <c r="G68" s="2" t="s">
        <v>40</v>
      </c>
      <c r="H68" s="2" t="s">
        <v>75</v>
      </c>
      <c r="I68" s="2" t="s">
        <v>115</v>
      </c>
      <c r="J68" s="2" t="s">
        <v>152</v>
      </c>
    </row>
    <row r="69" spans="1:10" ht="30" customHeight="1">
      <c r="A69" s="2" t="s">
        <v>202</v>
      </c>
      <c r="B69" s="5">
        <v>46015</v>
      </c>
      <c r="C69" s="2" t="s">
        <v>118</v>
      </c>
      <c r="D69" s="2" t="s">
        <v>131</v>
      </c>
      <c r="E69" s="2" t="s">
        <v>123</v>
      </c>
      <c r="F69" s="6">
        <v>12.7</v>
      </c>
      <c r="G69" s="2" t="s">
        <v>49</v>
      </c>
      <c r="H69" s="2" t="s">
        <v>75</v>
      </c>
      <c r="I69" s="2" t="s">
        <v>109</v>
      </c>
      <c r="J69" s="2" t="s">
        <v>120</v>
      </c>
    </row>
    <row r="70" spans="1:10" ht="30" customHeight="1">
      <c r="A70" s="2" t="s">
        <v>203</v>
      </c>
      <c r="B70" s="5">
        <v>46016</v>
      </c>
      <c r="C70" s="2" t="s">
        <v>106</v>
      </c>
      <c r="D70" s="2" t="s">
        <v>131</v>
      </c>
      <c r="E70" s="2" t="s">
        <v>114</v>
      </c>
      <c r="F70" s="6">
        <v>26</v>
      </c>
      <c r="G70" s="2" t="s">
        <v>124</v>
      </c>
      <c r="H70" s="2" t="s">
        <v>75</v>
      </c>
      <c r="I70" s="2" t="s">
        <v>115</v>
      </c>
      <c r="J70" s="2" t="s">
        <v>154</v>
      </c>
    </row>
    <row r="71" spans="1:10" ht="30" customHeight="1">
      <c r="A71" s="2" t="s">
        <v>204</v>
      </c>
      <c r="B71" s="5">
        <v>45993</v>
      </c>
      <c r="C71" s="2" t="s">
        <v>122</v>
      </c>
      <c r="D71" s="2" t="s">
        <v>113</v>
      </c>
      <c r="E71" s="2" t="s">
        <v>114</v>
      </c>
      <c r="F71" s="6">
        <v>10.4</v>
      </c>
      <c r="G71" s="2" t="s">
        <v>40</v>
      </c>
      <c r="H71" s="2" t="s">
        <v>44</v>
      </c>
      <c r="I71" s="2" t="s">
        <v>115</v>
      </c>
      <c r="J71" s="2" t="s">
        <v>143</v>
      </c>
    </row>
    <row r="72" spans="1:10" ht="30" customHeight="1">
      <c r="A72" s="2" t="s">
        <v>205</v>
      </c>
      <c r="B72" s="5">
        <v>45996</v>
      </c>
      <c r="C72" s="2" t="s">
        <v>122</v>
      </c>
      <c r="D72" s="2" t="s">
        <v>107</v>
      </c>
      <c r="E72" s="2" t="s">
        <v>114</v>
      </c>
      <c r="F72" s="6">
        <v>28.1</v>
      </c>
      <c r="G72" s="2" t="s">
        <v>124</v>
      </c>
      <c r="H72" s="2" t="s">
        <v>44</v>
      </c>
      <c r="I72" s="2" t="s">
        <v>115</v>
      </c>
      <c r="J72" s="2" t="s">
        <v>143</v>
      </c>
    </row>
    <row r="73" spans="1:10" ht="30" customHeight="1">
      <c r="A73" s="2" t="s">
        <v>206</v>
      </c>
      <c r="B73" s="5">
        <v>46004</v>
      </c>
      <c r="C73" s="2" t="s">
        <v>133</v>
      </c>
      <c r="D73" s="2" t="s">
        <v>136</v>
      </c>
      <c r="E73" s="2" t="s">
        <v>127</v>
      </c>
      <c r="F73" s="6">
        <v>33.700000000000003</v>
      </c>
      <c r="G73" s="2" t="s">
        <v>49</v>
      </c>
      <c r="H73" s="2" t="s">
        <v>44</v>
      </c>
      <c r="I73" s="2" t="s">
        <v>128</v>
      </c>
      <c r="J73" s="2" t="s">
        <v>125</v>
      </c>
    </row>
  </sheetData>
  <conditionalFormatting sqref="E2:E73">
    <cfRule type="expression" dxfId="14" priority="1">
      <formula>E2="Crítica"</formula>
    </cfRule>
    <cfRule type="expression" dxfId="13" priority="2">
      <formula>E2="Alta"</formula>
    </cfRule>
  </conditionalFormatting>
  <conditionalFormatting sqref="F2:F73">
    <cfRule type="dataBar" priority="3">
      <dataBar>
        <cfvo type="min"/>
        <cfvo type="max"/>
        <color rgb="FF1F4E78"/>
      </dataBar>
    </cfRule>
    <cfRule type="dataBar" priority="4">
      <dataBar>
        <cfvo type="min"/>
        <cfvo type="max"/>
        <color rgb="FF1F4E78"/>
      </dataBar>
      <extLst>
        <ext xmlns:x14="http://schemas.microsoft.com/office/spreadsheetml/2009/9/main" uri="{B025F937-C7B1-47D3-B67F-A62EFF666E3E}">
          <x14:id>{E57F8D34-C346-E657-4885-C48ACC04918E}</x14:id>
        </ext>
      </extLst>
    </cfRule>
  </conditionalFormatting>
  <dataValidations count="2">
    <dataValidation type="list" sqref="E2:E73" xr:uid="{00000000-0002-0000-0200-000000000000}">
      <formula1>"Crítica,Alta,Media,Baja"</formula1>
    </dataValidation>
    <dataValidation type="list" sqref="G2:G73" xr:uid="{00000000-0002-0000-0200-000001000000}">
      <formula1>"Abierto,En seguimiento,Resuelto,Cerrado"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7F8D34-C346-E657-4885-C48ACC04918E}">
            <x14:dataBar>
              <x14:cfvo type="min"/>
              <x14:cfvo type="max"/>
              <x14:negativeFillColor auto="1"/>
              <x14:axisColor auto="1"/>
            </x14:dataBar>
          </x14:cfRule>
          <xm:sqref>F2:F73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workbookViewId="0"/>
  </sheetViews>
  <sheetFormatPr baseColWidth="10" defaultColWidth="9" defaultRowHeight="14.25"/>
  <cols>
    <col min="1" max="1" width="14" customWidth="1"/>
    <col min="2" max="2" width="17" customWidth="1"/>
    <col min="3" max="3" width="28" customWidth="1"/>
    <col min="4" max="5" width="16" customWidth="1"/>
    <col min="6" max="6" width="15" customWidth="1"/>
    <col min="7" max="7" width="19" customWidth="1"/>
    <col min="8" max="8" width="21" customWidth="1"/>
    <col min="9" max="9" width="27" customWidth="1"/>
    <col min="10" max="10" width="20" customWidth="1"/>
  </cols>
  <sheetData>
    <row r="1" spans="1:10" ht="33.950000000000003" customHeight="1">
      <c r="A1" s="1" t="s">
        <v>207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</row>
    <row r="2" spans="1:10" ht="30" customHeight="1">
      <c r="A2" s="2" t="s">
        <v>217</v>
      </c>
      <c r="B2" s="5">
        <v>45665</v>
      </c>
      <c r="C2" s="2" t="s">
        <v>218</v>
      </c>
      <c r="D2" s="2">
        <v>1</v>
      </c>
      <c r="E2" s="2">
        <v>6</v>
      </c>
      <c r="F2" s="2">
        <v>1</v>
      </c>
      <c r="G2" s="4">
        <f t="shared" ref="G2:G19" si="0">MAX(0,1-((D2*5+E2*2+F2)/100))</f>
        <v>0.82000000000000006</v>
      </c>
      <c r="H2" s="2" t="s">
        <v>219</v>
      </c>
      <c r="I2" s="2" t="s">
        <v>220</v>
      </c>
      <c r="J2" s="5">
        <v>45774</v>
      </c>
    </row>
    <row r="3" spans="1:10" ht="30" customHeight="1">
      <c r="A3" s="2" t="s">
        <v>221</v>
      </c>
      <c r="B3" s="5">
        <v>45666</v>
      </c>
      <c r="C3" s="2" t="s">
        <v>222</v>
      </c>
      <c r="D3" s="2">
        <v>0</v>
      </c>
      <c r="E3" s="2">
        <v>6</v>
      </c>
      <c r="F3" s="2">
        <v>5</v>
      </c>
      <c r="G3" s="4">
        <f t="shared" si="0"/>
        <v>0.83</v>
      </c>
      <c r="H3" s="2" t="s">
        <v>49</v>
      </c>
      <c r="I3" s="2" t="s">
        <v>223</v>
      </c>
      <c r="J3" s="5">
        <v>45786</v>
      </c>
    </row>
    <row r="4" spans="1:10" ht="30" customHeight="1">
      <c r="A4" s="2" t="s">
        <v>224</v>
      </c>
      <c r="B4" s="5">
        <v>45698</v>
      </c>
      <c r="C4" s="2" t="s">
        <v>225</v>
      </c>
      <c r="D4" s="2">
        <v>0</v>
      </c>
      <c r="E4" s="2">
        <v>1</v>
      </c>
      <c r="F4" s="2">
        <v>6</v>
      </c>
      <c r="G4" s="4">
        <f t="shared" si="0"/>
        <v>0.92</v>
      </c>
      <c r="H4" s="2" t="s">
        <v>226</v>
      </c>
      <c r="I4" s="2" t="s">
        <v>223</v>
      </c>
      <c r="J4" s="5">
        <v>45813</v>
      </c>
    </row>
    <row r="5" spans="1:10" ht="30" customHeight="1">
      <c r="A5" s="2" t="s">
        <v>227</v>
      </c>
      <c r="B5" s="5">
        <v>45729</v>
      </c>
      <c r="C5" s="2" t="s">
        <v>218</v>
      </c>
      <c r="D5" s="2">
        <v>1</v>
      </c>
      <c r="E5" s="2">
        <v>4</v>
      </c>
      <c r="F5" s="2">
        <v>1</v>
      </c>
      <c r="G5" s="4">
        <f t="shared" si="0"/>
        <v>0.86</v>
      </c>
      <c r="H5" s="2" t="s">
        <v>219</v>
      </c>
      <c r="I5" s="2" t="s">
        <v>220</v>
      </c>
      <c r="J5" s="5">
        <v>45815</v>
      </c>
    </row>
    <row r="6" spans="1:10" ht="30" customHeight="1">
      <c r="A6" s="2" t="s">
        <v>228</v>
      </c>
      <c r="B6" s="5">
        <v>45751</v>
      </c>
      <c r="C6" s="2" t="s">
        <v>229</v>
      </c>
      <c r="D6" s="2">
        <v>0</v>
      </c>
      <c r="E6" s="2">
        <v>2</v>
      </c>
      <c r="F6" s="2">
        <v>5</v>
      </c>
      <c r="G6" s="4">
        <f t="shared" si="0"/>
        <v>0.91</v>
      </c>
      <c r="H6" s="2" t="s">
        <v>226</v>
      </c>
      <c r="I6" s="2" t="s">
        <v>223</v>
      </c>
      <c r="J6" s="5">
        <v>45802</v>
      </c>
    </row>
    <row r="7" spans="1:10" ht="30" customHeight="1">
      <c r="A7" s="2" t="s">
        <v>230</v>
      </c>
      <c r="B7" s="5">
        <v>45755</v>
      </c>
      <c r="C7" s="2" t="s">
        <v>231</v>
      </c>
      <c r="D7" s="2">
        <v>0</v>
      </c>
      <c r="E7" s="2">
        <v>1</v>
      </c>
      <c r="F7" s="2">
        <v>1</v>
      </c>
      <c r="G7" s="4">
        <f t="shared" si="0"/>
        <v>0.97</v>
      </c>
      <c r="H7" s="2" t="s">
        <v>219</v>
      </c>
      <c r="I7" s="2" t="s">
        <v>223</v>
      </c>
      <c r="J7" s="5">
        <v>45844</v>
      </c>
    </row>
    <row r="8" spans="1:10" ht="30" customHeight="1">
      <c r="A8" s="2" t="s">
        <v>232</v>
      </c>
      <c r="B8" s="5">
        <v>45782</v>
      </c>
      <c r="C8" s="2" t="s">
        <v>222</v>
      </c>
      <c r="D8" s="2">
        <v>0</v>
      </c>
      <c r="E8" s="2">
        <v>2</v>
      </c>
      <c r="F8" s="2">
        <v>6</v>
      </c>
      <c r="G8" s="4">
        <f t="shared" si="0"/>
        <v>0.9</v>
      </c>
      <c r="H8" s="2" t="s">
        <v>226</v>
      </c>
      <c r="I8" s="2" t="s">
        <v>233</v>
      </c>
      <c r="J8" s="5">
        <v>45840</v>
      </c>
    </row>
    <row r="9" spans="1:10" ht="30" customHeight="1">
      <c r="A9" s="2" t="s">
        <v>234</v>
      </c>
      <c r="B9" s="5">
        <v>45826</v>
      </c>
      <c r="C9" s="2" t="s">
        <v>225</v>
      </c>
      <c r="D9" s="2">
        <v>0</v>
      </c>
      <c r="E9" s="2">
        <v>6</v>
      </c>
      <c r="F9" s="2">
        <v>5</v>
      </c>
      <c r="G9" s="4">
        <f t="shared" si="0"/>
        <v>0.83</v>
      </c>
      <c r="H9" s="2" t="s">
        <v>49</v>
      </c>
      <c r="I9" s="2" t="s">
        <v>235</v>
      </c>
      <c r="J9" s="5">
        <v>45872</v>
      </c>
    </row>
    <row r="10" spans="1:10" ht="30" customHeight="1">
      <c r="A10" s="2" t="s">
        <v>236</v>
      </c>
      <c r="B10" s="5">
        <v>45817</v>
      </c>
      <c r="C10" s="2" t="s">
        <v>237</v>
      </c>
      <c r="D10" s="2">
        <v>2</v>
      </c>
      <c r="E10" s="2">
        <v>3</v>
      </c>
      <c r="F10" s="2">
        <v>8</v>
      </c>
      <c r="G10" s="4">
        <f t="shared" si="0"/>
        <v>0.76</v>
      </c>
      <c r="H10" s="2" t="s">
        <v>219</v>
      </c>
      <c r="I10" s="2" t="s">
        <v>223</v>
      </c>
      <c r="J10" s="5">
        <v>45935</v>
      </c>
    </row>
    <row r="11" spans="1:10" ht="30" customHeight="1">
      <c r="A11" s="2" t="s">
        <v>238</v>
      </c>
      <c r="B11" s="5">
        <v>45853</v>
      </c>
      <c r="C11" s="2" t="s">
        <v>229</v>
      </c>
      <c r="D11" s="2">
        <v>0</v>
      </c>
      <c r="E11" s="2">
        <v>1</v>
      </c>
      <c r="F11" s="2">
        <v>1</v>
      </c>
      <c r="G11" s="4">
        <f t="shared" si="0"/>
        <v>0.97</v>
      </c>
      <c r="H11" s="2" t="s">
        <v>219</v>
      </c>
      <c r="I11" s="2" t="s">
        <v>235</v>
      </c>
      <c r="J11" s="5">
        <v>45924</v>
      </c>
    </row>
    <row r="12" spans="1:10" ht="30" customHeight="1">
      <c r="A12" s="2" t="s">
        <v>239</v>
      </c>
      <c r="B12" s="5">
        <v>45893</v>
      </c>
      <c r="C12" s="2" t="s">
        <v>237</v>
      </c>
      <c r="D12" s="2">
        <v>0</v>
      </c>
      <c r="E12" s="2">
        <v>3</v>
      </c>
      <c r="F12" s="2">
        <v>4</v>
      </c>
      <c r="G12" s="4">
        <f t="shared" si="0"/>
        <v>0.9</v>
      </c>
      <c r="H12" s="2" t="s">
        <v>226</v>
      </c>
      <c r="I12" s="2" t="s">
        <v>233</v>
      </c>
      <c r="J12" s="5">
        <v>45973</v>
      </c>
    </row>
    <row r="13" spans="1:10" ht="30" customHeight="1">
      <c r="A13" s="2" t="s">
        <v>240</v>
      </c>
      <c r="B13" s="5">
        <v>45871</v>
      </c>
      <c r="C13" s="2" t="s">
        <v>237</v>
      </c>
      <c r="D13" s="2">
        <v>0</v>
      </c>
      <c r="E13" s="2">
        <v>2</v>
      </c>
      <c r="F13" s="2">
        <v>1</v>
      </c>
      <c r="G13" s="4">
        <f t="shared" si="0"/>
        <v>0.95</v>
      </c>
      <c r="H13" s="2" t="s">
        <v>219</v>
      </c>
      <c r="I13" s="2" t="s">
        <v>235</v>
      </c>
      <c r="J13" s="5">
        <v>45964</v>
      </c>
    </row>
    <row r="14" spans="1:10" ht="30" customHeight="1">
      <c r="A14" s="2" t="s">
        <v>241</v>
      </c>
      <c r="B14" s="5">
        <v>45907</v>
      </c>
      <c r="C14" s="2" t="s">
        <v>242</v>
      </c>
      <c r="D14" s="2">
        <v>0</v>
      </c>
      <c r="E14" s="2">
        <v>2</v>
      </c>
      <c r="F14" s="2">
        <v>7</v>
      </c>
      <c r="G14" s="4">
        <f t="shared" si="0"/>
        <v>0.89</v>
      </c>
      <c r="H14" s="2" t="s">
        <v>219</v>
      </c>
      <c r="I14" s="2" t="s">
        <v>243</v>
      </c>
      <c r="J14" s="5">
        <v>45980</v>
      </c>
    </row>
    <row r="15" spans="1:10" ht="30" customHeight="1">
      <c r="A15" s="2" t="s">
        <v>244</v>
      </c>
      <c r="B15" s="5">
        <v>45946</v>
      </c>
      <c r="C15" s="2" t="s">
        <v>229</v>
      </c>
      <c r="D15" s="2">
        <v>0</v>
      </c>
      <c r="E15" s="2">
        <v>1</v>
      </c>
      <c r="F15" s="2">
        <v>6</v>
      </c>
      <c r="G15" s="4">
        <f t="shared" si="0"/>
        <v>0.92</v>
      </c>
      <c r="H15" s="2" t="s">
        <v>49</v>
      </c>
      <c r="I15" s="2" t="s">
        <v>243</v>
      </c>
      <c r="J15" s="5">
        <v>46026</v>
      </c>
    </row>
    <row r="16" spans="1:10" ht="30" customHeight="1">
      <c r="A16" s="2" t="s">
        <v>245</v>
      </c>
      <c r="B16" s="5">
        <v>45943</v>
      </c>
      <c r="C16" s="2" t="s">
        <v>242</v>
      </c>
      <c r="D16" s="2">
        <v>0</v>
      </c>
      <c r="E16" s="2">
        <v>6</v>
      </c>
      <c r="F16" s="2">
        <v>7</v>
      </c>
      <c r="G16" s="4">
        <f t="shared" si="0"/>
        <v>0.81</v>
      </c>
      <c r="H16" s="2" t="s">
        <v>219</v>
      </c>
      <c r="I16" s="2" t="s">
        <v>223</v>
      </c>
      <c r="J16" s="5">
        <v>46007</v>
      </c>
    </row>
    <row r="17" spans="1:10" ht="30" customHeight="1">
      <c r="A17" s="2" t="s">
        <v>246</v>
      </c>
      <c r="B17" s="5">
        <v>45972</v>
      </c>
      <c r="C17" s="2" t="s">
        <v>222</v>
      </c>
      <c r="D17" s="2">
        <v>0</v>
      </c>
      <c r="E17" s="2">
        <v>3</v>
      </c>
      <c r="F17" s="2">
        <v>2</v>
      </c>
      <c r="G17" s="4">
        <f t="shared" si="0"/>
        <v>0.92</v>
      </c>
      <c r="H17" s="2" t="s">
        <v>49</v>
      </c>
      <c r="I17" s="2" t="s">
        <v>233</v>
      </c>
      <c r="J17" s="5">
        <v>46078</v>
      </c>
    </row>
    <row r="18" spans="1:10" ht="30" customHeight="1">
      <c r="A18" s="2" t="s">
        <v>247</v>
      </c>
      <c r="B18" s="5">
        <v>45993</v>
      </c>
      <c r="C18" s="2" t="s">
        <v>225</v>
      </c>
      <c r="D18" s="2">
        <v>1</v>
      </c>
      <c r="E18" s="2">
        <v>6</v>
      </c>
      <c r="F18" s="2">
        <v>3</v>
      </c>
      <c r="G18" s="4">
        <f t="shared" si="0"/>
        <v>0.8</v>
      </c>
      <c r="H18" s="2" t="s">
        <v>219</v>
      </c>
      <c r="I18" s="2" t="s">
        <v>243</v>
      </c>
      <c r="J18" s="5">
        <v>46065</v>
      </c>
    </row>
    <row r="19" spans="1:10" ht="30" customHeight="1">
      <c r="A19" s="2" t="s">
        <v>248</v>
      </c>
      <c r="B19" s="5">
        <v>45998</v>
      </c>
      <c r="C19" s="2" t="s">
        <v>229</v>
      </c>
      <c r="D19" s="2">
        <v>0</v>
      </c>
      <c r="E19" s="2">
        <v>3</v>
      </c>
      <c r="F19" s="2">
        <v>8</v>
      </c>
      <c r="G19" s="4">
        <f t="shared" si="0"/>
        <v>0.86</v>
      </c>
      <c r="H19" s="2" t="s">
        <v>49</v>
      </c>
      <c r="I19" s="2" t="s">
        <v>233</v>
      </c>
      <c r="J19" s="5">
        <v>46083</v>
      </c>
    </row>
  </sheetData>
  <conditionalFormatting sqref="G2:G19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H2:H19">
    <cfRule type="expression" dxfId="12" priority="2">
      <formula>OR(H2="Óptimo",H2="Cumple",H2="Cerrado",H2="Completado",H2="Verde")</formula>
    </cfRule>
    <cfRule type="expression" dxfId="11" priority="3">
      <formula>OR(H2="Controlado",H2="En seguimiento",H2="En ejecución",H2="Amarillo")</formula>
    </cfRule>
    <cfRule type="expression" dxfId="10" priority="4">
      <formula>OR(H2="Requiere atención",H2="No cumple",H2="Abierto",H2="Atrasado",H2="Rojo")</formula>
    </cfRule>
  </conditionalFormatting>
  <dataValidations count="1">
    <dataValidation type="list" sqref="H2:H19" xr:uid="{00000000-0002-0000-0300-000000000000}">
      <formula1>"Pendiente,En ejecución,Atrasado,Cerrado"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3"/>
  <sheetViews>
    <sheetView workbookViewId="0"/>
  </sheetViews>
  <sheetFormatPr baseColWidth="10" defaultColWidth="9" defaultRowHeight="14.25"/>
  <cols>
    <col min="1" max="1" width="13" customWidth="1"/>
    <col min="2" max="2" width="28" customWidth="1"/>
    <col min="3" max="3" width="18" customWidth="1"/>
    <col min="4" max="4" width="20" customWidth="1"/>
    <col min="5" max="5" width="22" customWidth="1"/>
    <col min="6" max="6" width="20" customWidth="1"/>
    <col min="7" max="7" width="17" customWidth="1"/>
    <col min="8" max="8" width="21" customWidth="1"/>
  </cols>
  <sheetData>
    <row r="1" spans="1:8" ht="33.950000000000003" customHeight="1">
      <c r="A1" s="1" t="s">
        <v>0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</row>
    <row r="2" spans="1:8" ht="30" customHeight="1">
      <c r="A2" s="2" t="s">
        <v>8</v>
      </c>
      <c r="B2" s="2" t="s">
        <v>122</v>
      </c>
      <c r="C2" s="2">
        <v>744</v>
      </c>
      <c r="D2" s="2">
        <v>3.47</v>
      </c>
      <c r="E2" s="7">
        <f t="shared" ref="E2:E33" si="0">1-(D2/C2)</f>
        <v>0.99533602150537637</v>
      </c>
      <c r="F2" s="2">
        <v>2</v>
      </c>
      <c r="G2" s="7">
        <v>0.997</v>
      </c>
      <c r="H2" s="2" t="str">
        <f t="shared" ref="H2:H33" si="1">IF(E2&gt;=G2,"Cumple","No cumple")</f>
        <v>No cumple</v>
      </c>
    </row>
    <row r="3" spans="1:8" ht="30" customHeight="1">
      <c r="A3" s="2" t="s">
        <v>8</v>
      </c>
      <c r="B3" s="2" t="s">
        <v>106</v>
      </c>
      <c r="C3" s="2">
        <v>744</v>
      </c>
      <c r="D3" s="2">
        <v>2.64</v>
      </c>
      <c r="E3" s="7">
        <f t="shared" si="0"/>
        <v>0.99645161290322581</v>
      </c>
      <c r="F3" s="2">
        <v>2</v>
      </c>
      <c r="G3" s="7">
        <v>0.995</v>
      </c>
      <c r="H3" s="2" t="str">
        <f t="shared" si="1"/>
        <v>Cumple</v>
      </c>
    </row>
    <row r="4" spans="1:8" ht="30" customHeight="1">
      <c r="A4" s="2" t="s">
        <v>8</v>
      </c>
      <c r="B4" s="2" t="s">
        <v>133</v>
      </c>
      <c r="C4" s="2">
        <v>744</v>
      </c>
      <c r="D4" s="2">
        <v>5.41</v>
      </c>
      <c r="E4" s="7">
        <f t="shared" si="0"/>
        <v>0.99272849462365587</v>
      </c>
      <c r="F4" s="2">
        <v>5</v>
      </c>
      <c r="G4" s="7">
        <v>0.995</v>
      </c>
      <c r="H4" s="2" t="str">
        <f t="shared" si="1"/>
        <v>No cumple</v>
      </c>
    </row>
    <row r="5" spans="1:8" ht="30" customHeight="1">
      <c r="A5" s="2" t="s">
        <v>8</v>
      </c>
      <c r="B5" s="2" t="s">
        <v>118</v>
      </c>
      <c r="C5" s="2">
        <v>744</v>
      </c>
      <c r="D5" s="2">
        <v>1.51</v>
      </c>
      <c r="E5" s="7">
        <f t="shared" si="0"/>
        <v>0.99797043010752684</v>
      </c>
      <c r="F5" s="2">
        <v>1</v>
      </c>
      <c r="G5" s="7">
        <v>0.999</v>
      </c>
      <c r="H5" s="2" t="str">
        <f t="shared" si="1"/>
        <v>No cumple</v>
      </c>
    </row>
    <row r="6" spans="1:8" ht="30" customHeight="1">
      <c r="A6" s="2" t="s">
        <v>8</v>
      </c>
      <c r="B6" s="2" t="s">
        <v>112</v>
      </c>
      <c r="C6" s="2">
        <v>744</v>
      </c>
      <c r="D6" s="2">
        <v>0.52</v>
      </c>
      <c r="E6" s="7">
        <f t="shared" si="0"/>
        <v>0.99930107526881717</v>
      </c>
      <c r="F6" s="2">
        <v>1</v>
      </c>
      <c r="G6" s="7">
        <v>0.999</v>
      </c>
      <c r="H6" s="2" t="str">
        <f t="shared" si="1"/>
        <v>Cumple</v>
      </c>
    </row>
    <row r="7" spans="1:8" ht="30" customHeight="1">
      <c r="A7" s="2" t="s">
        <v>8</v>
      </c>
      <c r="B7" s="2" t="s">
        <v>138</v>
      </c>
      <c r="C7" s="2">
        <v>744</v>
      </c>
      <c r="D7" s="2">
        <v>4.79</v>
      </c>
      <c r="E7" s="7">
        <f t="shared" si="0"/>
        <v>0.99356182795698922</v>
      </c>
      <c r="F7" s="2">
        <v>6</v>
      </c>
      <c r="G7" s="7">
        <v>0.995</v>
      </c>
      <c r="H7" s="2" t="str">
        <f t="shared" si="1"/>
        <v>No cumple</v>
      </c>
    </row>
    <row r="8" spans="1:8" ht="30" customHeight="1">
      <c r="A8" s="2" t="s">
        <v>10</v>
      </c>
      <c r="B8" s="2" t="s">
        <v>122</v>
      </c>
      <c r="C8" s="2">
        <v>672</v>
      </c>
      <c r="D8" s="2">
        <v>3.4</v>
      </c>
      <c r="E8" s="7">
        <f t="shared" si="0"/>
        <v>0.99494047619047621</v>
      </c>
      <c r="F8" s="2">
        <v>2</v>
      </c>
      <c r="G8" s="7">
        <v>0.997</v>
      </c>
      <c r="H8" s="2" t="str">
        <f t="shared" si="1"/>
        <v>No cumple</v>
      </c>
    </row>
    <row r="9" spans="1:8" ht="30" customHeight="1">
      <c r="A9" s="2" t="s">
        <v>10</v>
      </c>
      <c r="B9" s="2" t="s">
        <v>106</v>
      </c>
      <c r="C9" s="2">
        <v>672</v>
      </c>
      <c r="D9" s="2">
        <v>4.82</v>
      </c>
      <c r="E9" s="7">
        <f t="shared" si="0"/>
        <v>0.99282738095238099</v>
      </c>
      <c r="F9" s="2">
        <v>3</v>
      </c>
      <c r="G9" s="7">
        <v>0.995</v>
      </c>
      <c r="H9" s="2" t="str">
        <f t="shared" si="1"/>
        <v>No cumple</v>
      </c>
    </row>
    <row r="10" spans="1:8" ht="30" customHeight="1">
      <c r="A10" s="2" t="s">
        <v>10</v>
      </c>
      <c r="B10" s="2" t="s">
        <v>133</v>
      </c>
      <c r="C10" s="2">
        <v>672</v>
      </c>
      <c r="D10" s="2">
        <v>2.87</v>
      </c>
      <c r="E10" s="7">
        <f t="shared" si="0"/>
        <v>0.99572916666666667</v>
      </c>
      <c r="F10" s="2">
        <v>4</v>
      </c>
      <c r="G10" s="7">
        <v>0.995</v>
      </c>
      <c r="H10" s="2" t="str">
        <f t="shared" si="1"/>
        <v>Cumple</v>
      </c>
    </row>
    <row r="11" spans="1:8" ht="30" customHeight="1">
      <c r="A11" s="2" t="s">
        <v>10</v>
      </c>
      <c r="B11" s="2" t="s">
        <v>118</v>
      </c>
      <c r="C11" s="2">
        <v>672</v>
      </c>
      <c r="D11" s="2">
        <v>0.96</v>
      </c>
      <c r="E11" s="7">
        <f t="shared" si="0"/>
        <v>0.99857142857142855</v>
      </c>
      <c r="F11" s="2">
        <v>1</v>
      </c>
      <c r="G11" s="7">
        <v>0.999</v>
      </c>
      <c r="H11" s="2" t="str">
        <f t="shared" si="1"/>
        <v>No cumple</v>
      </c>
    </row>
    <row r="12" spans="1:8" ht="30" customHeight="1">
      <c r="A12" s="2" t="s">
        <v>10</v>
      </c>
      <c r="B12" s="2" t="s">
        <v>112</v>
      </c>
      <c r="C12" s="2">
        <v>672</v>
      </c>
      <c r="D12" s="2">
        <v>0.94</v>
      </c>
      <c r="E12" s="7">
        <f t="shared" si="0"/>
        <v>0.99860119047619045</v>
      </c>
      <c r="F12" s="2">
        <v>1</v>
      </c>
      <c r="G12" s="7">
        <v>0.999</v>
      </c>
      <c r="H12" s="2" t="str">
        <f t="shared" si="1"/>
        <v>No cumple</v>
      </c>
    </row>
    <row r="13" spans="1:8" ht="30" customHeight="1">
      <c r="A13" s="2" t="s">
        <v>10</v>
      </c>
      <c r="B13" s="2" t="s">
        <v>138</v>
      </c>
      <c r="C13" s="2">
        <v>672</v>
      </c>
      <c r="D13" s="2">
        <v>2.64</v>
      </c>
      <c r="E13" s="7">
        <f t="shared" si="0"/>
        <v>0.99607142857142861</v>
      </c>
      <c r="F13" s="2">
        <v>3</v>
      </c>
      <c r="G13" s="7">
        <v>0.995</v>
      </c>
      <c r="H13" s="2" t="str">
        <f t="shared" si="1"/>
        <v>Cumple</v>
      </c>
    </row>
    <row r="14" spans="1:8" ht="30" customHeight="1">
      <c r="A14" s="2" t="s">
        <v>11</v>
      </c>
      <c r="B14" s="2" t="s">
        <v>122</v>
      </c>
      <c r="C14" s="2">
        <v>744</v>
      </c>
      <c r="D14" s="2">
        <v>2.4500000000000002</v>
      </c>
      <c r="E14" s="7">
        <f t="shared" si="0"/>
        <v>0.99670698924731183</v>
      </c>
      <c r="F14" s="2">
        <v>1</v>
      </c>
      <c r="G14" s="7">
        <v>0.997</v>
      </c>
      <c r="H14" s="2" t="str">
        <f t="shared" si="1"/>
        <v>No cumple</v>
      </c>
    </row>
    <row r="15" spans="1:8" ht="30" customHeight="1">
      <c r="A15" s="2" t="s">
        <v>11</v>
      </c>
      <c r="B15" s="2" t="s">
        <v>106</v>
      </c>
      <c r="C15" s="2">
        <v>744</v>
      </c>
      <c r="D15" s="2">
        <v>3.61</v>
      </c>
      <c r="E15" s="7">
        <f t="shared" si="0"/>
        <v>0.99514784946236556</v>
      </c>
      <c r="F15" s="2">
        <v>3</v>
      </c>
      <c r="G15" s="7">
        <v>0.995</v>
      </c>
      <c r="H15" s="2" t="str">
        <f t="shared" si="1"/>
        <v>Cumple</v>
      </c>
    </row>
    <row r="16" spans="1:8" ht="30" customHeight="1">
      <c r="A16" s="2" t="s">
        <v>11</v>
      </c>
      <c r="B16" s="2" t="s">
        <v>133</v>
      </c>
      <c r="C16" s="2">
        <v>744</v>
      </c>
      <c r="D16" s="2">
        <v>3.65</v>
      </c>
      <c r="E16" s="7">
        <f t="shared" si="0"/>
        <v>0.9950940860215054</v>
      </c>
      <c r="F16" s="2">
        <v>4</v>
      </c>
      <c r="G16" s="7">
        <v>0.995</v>
      </c>
      <c r="H16" s="2" t="str">
        <f t="shared" si="1"/>
        <v>Cumple</v>
      </c>
    </row>
    <row r="17" spans="1:8" ht="30" customHeight="1">
      <c r="A17" s="2" t="s">
        <v>11</v>
      </c>
      <c r="B17" s="2" t="s">
        <v>118</v>
      </c>
      <c r="C17" s="2">
        <v>744</v>
      </c>
      <c r="D17" s="2">
        <v>1.9</v>
      </c>
      <c r="E17" s="7">
        <f t="shared" si="0"/>
        <v>0.99744623655913978</v>
      </c>
      <c r="F17" s="2">
        <v>1</v>
      </c>
      <c r="G17" s="7">
        <v>0.999</v>
      </c>
      <c r="H17" s="2" t="str">
        <f t="shared" si="1"/>
        <v>No cumple</v>
      </c>
    </row>
    <row r="18" spans="1:8" ht="30" customHeight="1">
      <c r="A18" s="2" t="s">
        <v>11</v>
      </c>
      <c r="B18" s="2" t="s">
        <v>112</v>
      </c>
      <c r="C18" s="2">
        <v>744</v>
      </c>
      <c r="D18" s="2">
        <v>1.41</v>
      </c>
      <c r="E18" s="7">
        <f t="shared" si="0"/>
        <v>0.99810483870967737</v>
      </c>
      <c r="F18" s="2">
        <v>2</v>
      </c>
      <c r="G18" s="7">
        <v>0.999</v>
      </c>
      <c r="H18" s="2" t="str">
        <f t="shared" si="1"/>
        <v>No cumple</v>
      </c>
    </row>
    <row r="19" spans="1:8" ht="30" customHeight="1">
      <c r="A19" s="2" t="s">
        <v>11</v>
      </c>
      <c r="B19" s="2" t="s">
        <v>138</v>
      </c>
      <c r="C19" s="2">
        <v>744</v>
      </c>
      <c r="D19" s="2">
        <v>4.57</v>
      </c>
      <c r="E19" s="7">
        <f t="shared" si="0"/>
        <v>0.99385752688172047</v>
      </c>
      <c r="F19" s="2">
        <v>3</v>
      </c>
      <c r="G19" s="7">
        <v>0.995</v>
      </c>
      <c r="H19" s="2" t="str">
        <f t="shared" si="1"/>
        <v>No cumple</v>
      </c>
    </row>
    <row r="20" spans="1:8" ht="30" customHeight="1">
      <c r="A20" s="2" t="s">
        <v>12</v>
      </c>
      <c r="B20" s="2" t="s">
        <v>122</v>
      </c>
      <c r="C20" s="2">
        <v>720</v>
      </c>
      <c r="D20" s="2">
        <v>2.86</v>
      </c>
      <c r="E20" s="7">
        <f t="shared" si="0"/>
        <v>0.99602777777777773</v>
      </c>
      <c r="F20" s="2">
        <v>2</v>
      </c>
      <c r="G20" s="7">
        <v>0.997</v>
      </c>
      <c r="H20" s="2" t="str">
        <f t="shared" si="1"/>
        <v>No cumple</v>
      </c>
    </row>
    <row r="21" spans="1:8" ht="30" customHeight="1">
      <c r="A21" s="2" t="s">
        <v>12</v>
      </c>
      <c r="B21" s="2" t="s">
        <v>106</v>
      </c>
      <c r="C21" s="2">
        <v>720</v>
      </c>
      <c r="D21" s="2">
        <v>4.49</v>
      </c>
      <c r="E21" s="7">
        <f t="shared" si="0"/>
        <v>0.99376388888888889</v>
      </c>
      <c r="F21" s="2">
        <v>3</v>
      </c>
      <c r="G21" s="7">
        <v>0.995</v>
      </c>
      <c r="H21" s="2" t="str">
        <f t="shared" si="1"/>
        <v>No cumple</v>
      </c>
    </row>
    <row r="22" spans="1:8" ht="30" customHeight="1">
      <c r="A22" s="2" t="s">
        <v>12</v>
      </c>
      <c r="B22" s="2" t="s">
        <v>133</v>
      </c>
      <c r="C22" s="2">
        <v>720</v>
      </c>
      <c r="D22" s="2">
        <v>3.81</v>
      </c>
      <c r="E22" s="7">
        <f t="shared" si="0"/>
        <v>0.99470833333333331</v>
      </c>
      <c r="F22" s="2">
        <v>2</v>
      </c>
      <c r="G22" s="7">
        <v>0.995</v>
      </c>
      <c r="H22" s="2" t="str">
        <f t="shared" si="1"/>
        <v>No cumple</v>
      </c>
    </row>
    <row r="23" spans="1:8" ht="30" customHeight="1">
      <c r="A23" s="2" t="s">
        <v>12</v>
      </c>
      <c r="B23" s="2" t="s">
        <v>118</v>
      </c>
      <c r="C23" s="2">
        <v>720</v>
      </c>
      <c r="D23" s="2">
        <v>1.53</v>
      </c>
      <c r="E23" s="7">
        <f t="shared" si="0"/>
        <v>0.99787499999999996</v>
      </c>
      <c r="F23" s="2">
        <v>1</v>
      </c>
      <c r="G23" s="7">
        <v>0.999</v>
      </c>
      <c r="H23" s="2" t="str">
        <f t="shared" si="1"/>
        <v>No cumple</v>
      </c>
    </row>
    <row r="24" spans="1:8" ht="30" customHeight="1">
      <c r="A24" s="2" t="s">
        <v>12</v>
      </c>
      <c r="B24" s="2" t="s">
        <v>112</v>
      </c>
      <c r="C24" s="2">
        <v>720</v>
      </c>
      <c r="D24" s="2">
        <v>1.21</v>
      </c>
      <c r="E24" s="7">
        <f t="shared" si="0"/>
        <v>0.99831944444444443</v>
      </c>
      <c r="F24" s="2">
        <v>1</v>
      </c>
      <c r="G24" s="7">
        <v>0.999</v>
      </c>
      <c r="H24" s="2" t="str">
        <f t="shared" si="1"/>
        <v>No cumple</v>
      </c>
    </row>
    <row r="25" spans="1:8" ht="30" customHeight="1">
      <c r="A25" s="2" t="s">
        <v>12</v>
      </c>
      <c r="B25" s="2" t="s">
        <v>138</v>
      </c>
      <c r="C25" s="2">
        <v>720</v>
      </c>
      <c r="D25" s="2">
        <v>2.48</v>
      </c>
      <c r="E25" s="7">
        <f t="shared" si="0"/>
        <v>0.99655555555555553</v>
      </c>
      <c r="F25" s="2">
        <v>1</v>
      </c>
      <c r="G25" s="7">
        <v>0.995</v>
      </c>
      <c r="H25" s="2" t="str">
        <f t="shared" si="1"/>
        <v>Cumple</v>
      </c>
    </row>
    <row r="26" spans="1:8" ht="30" customHeight="1">
      <c r="A26" s="2" t="s">
        <v>13</v>
      </c>
      <c r="B26" s="2" t="s">
        <v>122</v>
      </c>
      <c r="C26" s="2">
        <v>744</v>
      </c>
      <c r="D26" s="2">
        <v>1.26</v>
      </c>
      <c r="E26" s="7">
        <f t="shared" si="0"/>
        <v>0.99830645161290321</v>
      </c>
      <c r="F26" s="2">
        <v>1</v>
      </c>
      <c r="G26" s="7">
        <v>0.997</v>
      </c>
      <c r="H26" s="2" t="str">
        <f t="shared" si="1"/>
        <v>Cumple</v>
      </c>
    </row>
    <row r="27" spans="1:8" ht="30" customHeight="1">
      <c r="A27" s="2" t="s">
        <v>13</v>
      </c>
      <c r="B27" s="2" t="s">
        <v>106</v>
      </c>
      <c r="C27" s="2">
        <v>744</v>
      </c>
      <c r="D27" s="2">
        <v>2.04</v>
      </c>
      <c r="E27" s="7">
        <f t="shared" si="0"/>
        <v>0.99725806451612908</v>
      </c>
      <c r="F27" s="2">
        <v>2</v>
      </c>
      <c r="G27" s="7">
        <v>0.995</v>
      </c>
      <c r="H27" s="2" t="str">
        <f t="shared" si="1"/>
        <v>Cumple</v>
      </c>
    </row>
    <row r="28" spans="1:8" ht="30" customHeight="1">
      <c r="A28" s="2" t="s">
        <v>13</v>
      </c>
      <c r="B28" s="2" t="s">
        <v>133</v>
      </c>
      <c r="C28" s="2">
        <v>744</v>
      </c>
      <c r="D28" s="2">
        <v>2.58</v>
      </c>
      <c r="E28" s="7">
        <f t="shared" si="0"/>
        <v>0.99653225806451617</v>
      </c>
      <c r="F28" s="2">
        <v>3</v>
      </c>
      <c r="G28" s="7">
        <v>0.995</v>
      </c>
      <c r="H28" s="2" t="str">
        <f t="shared" si="1"/>
        <v>Cumple</v>
      </c>
    </row>
    <row r="29" spans="1:8" ht="30" customHeight="1">
      <c r="A29" s="2" t="s">
        <v>13</v>
      </c>
      <c r="B29" s="2" t="s">
        <v>118</v>
      </c>
      <c r="C29" s="2">
        <v>744</v>
      </c>
      <c r="D29" s="2">
        <v>1.24</v>
      </c>
      <c r="E29" s="7">
        <f t="shared" si="0"/>
        <v>0.99833333333333329</v>
      </c>
      <c r="F29" s="2">
        <v>1</v>
      </c>
      <c r="G29" s="7">
        <v>0.999</v>
      </c>
      <c r="H29" s="2" t="str">
        <f t="shared" si="1"/>
        <v>No cumple</v>
      </c>
    </row>
    <row r="30" spans="1:8" ht="30" customHeight="1">
      <c r="A30" s="2" t="s">
        <v>13</v>
      </c>
      <c r="B30" s="2" t="s">
        <v>112</v>
      </c>
      <c r="C30" s="2">
        <v>744</v>
      </c>
      <c r="D30" s="2">
        <v>0.33</v>
      </c>
      <c r="E30" s="7">
        <f t="shared" si="0"/>
        <v>0.99955645161290319</v>
      </c>
      <c r="F30" s="2">
        <v>1</v>
      </c>
      <c r="G30" s="7">
        <v>0.999</v>
      </c>
      <c r="H30" s="2" t="str">
        <f t="shared" si="1"/>
        <v>Cumple</v>
      </c>
    </row>
    <row r="31" spans="1:8" ht="30" customHeight="1">
      <c r="A31" s="2" t="s">
        <v>13</v>
      </c>
      <c r="B31" s="2" t="s">
        <v>138</v>
      </c>
      <c r="C31" s="2">
        <v>744</v>
      </c>
      <c r="D31" s="2">
        <v>4.26</v>
      </c>
      <c r="E31" s="7">
        <f t="shared" si="0"/>
        <v>0.99427419354838709</v>
      </c>
      <c r="F31" s="2">
        <v>3</v>
      </c>
      <c r="G31" s="7">
        <v>0.995</v>
      </c>
      <c r="H31" s="2" t="str">
        <f t="shared" si="1"/>
        <v>No cumple</v>
      </c>
    </row>
    <row r="32" spans="1:8" ht="30" customHeight="1">
      <c r="A32" s="2" t="s">
        <v>14</v>
      </c>
      <c r="B32" s="2" t="s">
        <v>122</v>
      </c>
      <c r="C32" s="2">
        <v>720</v>
      </c>
      <c r="D32" s="2">
        <v>2.63</v>
      </c>
      <c r="E32" s="7">
        <f t="shared" si="0"/>
        <v>0.99634722222222227</v>
      </c>
      <c r="F32" s="2">
        <v>2</v>
      </c>
      <c r="G32" s="7">
        <v>0.997</v>
      </c>
      <c r="H32" s="2" t="str">
        <f t="shared" si="1"/>
        <v>No cumple</v>
      </c>
    </row>
    <row r="33" spans="1:8" ht="30" customHeight="1">
      <c r="A33" s="2" t="s">
        <v>14</v>
      </c>
      <c r="B33" s="2" t="s">
        <v>106</v>
      </c>
      <c r="C33" s="2">
        <v>720</v>
      </c>
      <c r="D33" s="2">
        <v>1.56</v>
      </c>
      <c r="E33" s="7">
        <f t="shared" si="0"/>
        <v>0.99783333333333335</v>
      </c>
      <c r="F33" s="2">
        <v>1</v>
      </c>
      <c r="G33" s="7">
        <v>0.995</v>
      </c>
      <c r="H33" s="2" t="str">
        <f t="shared" si="1"/>
        <v>Cumple</v>
      </c>
    </row>
    <row r="34" spans="1:8" ht="30" customHeight="1">
      <c r="A34" s="2" t="s">
        <v>14</v>
      </c>
      <c r="B34" s="2" t="s">
        <v>133</v>
      </c>
      <c r="C34" s="2">
        <v>720</v>
      </c>
      <c r="D34" s="2">
        <v>2.82</v>
      </c>
      <c r="E34" s="7">
        <f t="shared" ref="E34:E65" si="2">1-(D34/C34)</f>
        <v>0.99608333333333332</v>
      </c>
      <c r="F34" s="2">
        <v>3</v>
      </c>
      <c r="G34" s="7">
        <v>0.995</v>
      </c>
      <c r="H34" s="2" t="str">
        <f t="shared" ref="H34:H65" si="3">IF(E34&gt;=G34,"Cumple","No cumple")</f>
        <v>Cumple</v>
      </c>
    </row>
    <row r="35" spans="1:8" ht="30" customHeight="1">
      <c r="A35" s="2" t="s">
        <v>14</v>
      </c>
      <c r="B35" s="2" t="s">
        <v>118</v>
      </c>
      <c r="C35" s="2">
        <v>720</v>
      </c>
      <c r="D35" s="2">
        <v>1.73</v>
      </c>
      <c r="E35" s="7">
        <f t="shared" si="2"/>
        <v>0.99759722222222225</v>
      </c>
      <c r="F35" s="2">
        <v>1</v>
      </c>
      <c r="G35" s="7">
        <v>0.999</v>
      </c>
      <c r="H35" s="2" t="str">
        <f t="shared" si="3"/>
        <v>No cumple</v>
      </c>
    </row>
    <row r="36" spans="1:8" ht="30" customHeight="1">
      <c r="A36" s="2" t="s">
        <v>14</v>
      </c>
      <c r="B36" s="2" t="s">
        <v>112</v>
      </c>
      <c r="C36" s="2">
        <v>720</v>
      </c>
      <c r="D36" s="2">
        <v>0.89</v>
      </c>
      <c r="E36" s="7">
        <f t="shared" si="2"/>
        <v>0.9987638888888889</v>
      </c>
      <c r="F36" s="2">
        <v>1</v>
      </c>
      <c r="G36" s="7">
        <v>0.999</v>
      </c>
      <c r="H36" s="2" t="str">
        <f t="shared" si="3"/>
        <v>No cumple</v>
      </c>
    </row>
    <row r="37" spans="1:8" ht="30" customHeight="1">
      <c r="A37" s="2" t="s">
        <v>14</v>
      </c>
      <c r="B37" s="2" t="s">
        <v>138</v>
      </c>
      <c r="C37" s="2">
        <v>720</v>
      </c>
      <c r="D37" s="2">
        <v>1.55</v>
      </c>
      <c r="E37" s="7">
        <f t="shared" si="2"/>
        <v>0.99784722222222222</v>
      </c>
      <c r="F37" s="2">
        <v>1</v>
      </c>
      <c r="G37" s="7">
        <v>0.995</v>
      </c>
      <c r="H37" s="2" t="str">
        <f t="shared" si="3"/>
        <v>Cumple</v>
      </c>
    </row>
    <row r="38" spans="1:8" ht="30" customHeight="1">
      <c r="A38" s="2" t="s">
        <v>15</v>
      </c>
      <c r="B38" s="2" t="s">
        <v>122</v>
      </c>
      <c r="C38" s="2">
        <v>744</v>
      </c>
      <c r="D38" s="2">
        <v>1.73</v>
      </c>
      <c r="E38" s="7">
        <f t="shared" si="2"/>
        <v>0.9976747311827957</v>
      </c>
      <c r="F38" s="2">
        <v>1</v>
      </c>
      <c r="G38" s="7">
        <v>0.997</v>
      </c>
      <c r="H38" s="2" t="str">
        <f t="shared" si="3"/>
        <v>Cumple</v>
      </c>
    </row>
    <row r="39" spans="1:8" ht="30" customHeight="1">
      <c r="A39" s="2" t="s">
        <v>15</v>
      </c>
      <c r="B39" s="2" t="s">
        <v>106</v>
      </c>
      <c r="C39" s="2">
        <v>744</v>
      </c>
      <c r="D39" s="2">
        <v>3.39</v>
      </c>
      <c r="E39" s="7">
        <f t="shared" si="2"/>
        <v>0.99544354838709681</v>
      </c>
      <c r="F39" s="2">
        <v>4</v>
      </c>
      <c r="G39" s="7">
        <v>0.995</v>
      </c>
      <c r="H39" s="2" t="str">
        <f t="shared" si="3"/>
        <v>Cumple</v>
      </c>
    </row>
    <row r="40" spans="1:8" ht="30" customHeight="1">
      <c r="A40" s="2" t="s">
        <v>15</v>
      </c>
      <c r="B40" s="2" t="s">
        <v>133</v>
      </c>
      <c r="C40" s="2">
        <v>744</v>
      </c>
      <c r="D40" s="2">
        <v>3.54</v>
      </c>
      <c r="E40" s="7">
        <f t="shared" si="2"/>
        <v>0.99524193548387097</v>
      </c>
      <c r="F40" s="2">
        <v>2</v>
      </c>
      <c r="G40" s="7">
        <v>0.995</v>
      </c>
      <c r="H40" s="2" t="str">
        <f t="shared" si="3"/>
        <v>Cumple</v>
      </c>
    </row>
    <row r="41" spans="1:8" ht="30" customHeight="1">
      <c r="A41" s="2" t="s">
        <v>15</v>
      </c>
      <c r="B41" s="2" t="s">
        <v>118</v>
      </c>
      <c r="C41" s="2">
        <v>744</v>
      </c>
      <c r="D41" s="2">
        <v>0.12</v>
      </c>
      <c r="E41" s="7">
        <f t="shared" si="2"/>
        <v>0.99983870967741939</v>
      </c>
      <c r="F41" s="2">
        <v>1</v>
      </c>
      <c r="G41" s="7">
        <v>0.999</v>
      </c>
      <c r="H41" s="2" t="str">
        <f t="shared" si="3"/>
        <v>Cumple</v>
      </c>
    </row>
    <row r="42" spans="1:8" ht="30" customHeight="1">
      <c r="A42" s="2" t="s">
        <v>15</v>
      </c>
      <c r="B42" s="2" t="s">
        <v>112</v>
      </c>
      <c r="C42" s="2">
        <v>744</v>
      </c>
      <c r="D42" s="2">
        <v>0.49</v>
      </c>
      <c r="E42" s="7">
        <f t="shared" si="2"/>
        <v>0.99934139784946241</v>
      </c>
      <c r="F42" s="2">
        <v>1</v>
      </c>
      <c r="G42" s="7">
        <v>0.999</v>
      </c>
      <c r="H42" s="2" t="str">
        <f t="shared" si="3"/>
        <v>Cumple</v>
      </c>
    </row>
    <row r="43" spans="1:8" ht="30" customHeight="1">
      <c r="A43" s="2" t="s">
        <v>15</v>
      </c>
      <c r="B43" s="2" t="s">
        <v>138</v>
      </c>
      <c r="C43" s="2">
        <v>744</v>
      </c>
      <c r="D43" s="2">
        <v>2.94</v>
      </c>
      <c r="E43" s="7">
        <f t="shared" si="2"/>
        <v>0.99604838709677423</v>
      </c>
      <c r="F43" s="2">
        <v>3</v>
      </c>
      <c r="G43" s="7">
        <v>0.995</v>
      </c>
      <c r="H43" s="2" t="str">
        <f t="shared" si="3"/>
        <v>Cumple</v>
      </c>
    </row>
    <row r="44" spans="1:8" ht="30" customHeight="1">
      <c r="A44" s="2" t="s">
        <v>16</v>
      </c>
      <c r="B44" s="2" t="s">
        <v>122</v>
      </c>
      <c r="C44" s="2">
        <v>744</v>
      </c>
      <c r="D44" s="2">
        <v>0.84</v>
      </c>
      <c r="E44" s="7">
        <f t="shared" si="2"/>
        <v>0.99887096774193551</v>
      </c>
      <c r="F44" s="2">
        <v>1</v>
      </c>
      <c r="G44" s="7">
        <v>0.997</v>
      </c>
      <c r="H44" s="2" t="str">
        <f t="shared" si="3"/>
        <v>Cumple</v>
      </c>
    </row>
    <row r="45" spans="1:8" ht="30" customHeight="1">
      <c r="A45" s="2" t="s">
        <v>16</v>
      </c>
      <c r="B45" s="2" t="s">
        <v>106</v>
      </c>
      <c r="C45" s="2">
        <v>744</v>
      </c>
      <c r="D45" s="2">
        <v>1.78</v>
      </c>
      <c r="E45" s="7">
        <f t="shared" si="2"/>
        <v>0.99760752688172039</v>
      </c>
      <c r="F45" s="2">
        <v>1</v>
      </c>
      <c r="G45" s="7">
        <v>0.995</v>
      </c>
      <c r="H45" s="2" t="str">
        <f t="shared" si="3"/>
        <v>Cumple</v>
      </c>
    </row>
    <row r="46" spans="1:8" ht="30" customHeight="1">
      <c r="A46" s="2" t="s">
        <v>16</v>
      </c>
      <c r="B46" s="2" t="s">
        <v>133</v>
      </c>
      <c r="C46" s="2">
        <v>744</v>
      </c>
      <c r="D46" s="2">
        <v>2.5</v>
      </c>
      <c r="E46" s="7">
        <f t="shared" si="2"/>
        <v>0.99663978494623651</v>
      </c>
      <c r="F46" s="2">
        <v>2</v>
      </c>
      <c r="G46" s="7">
        <v>0.995</v>
      </c>
      <c r="H46" s="2" t="str">
        <f t="shared" si="3"/>
        <v>Cumple</v>
      </c>
    </row>
    <row r="47" spans="1:8" ht="30" customHeight="1">
      <c r="A47" s="2" t="s">
        <v>16</v>
      </c>
      <c r="B47" s="2" t="s">
        <v>118</v>
      </c>
      <c r="C47" s="2">
        <v>744</v>
      </c>
      <c r="D47" s="2">
        <v>0.65</v>
      </c>
      <c r="E47" s="7">
        <f t="shared" si="2"/>
        <v>0.99912634408602152</v>
      </c>
      <c r="F47" s="2">
        <v>1</v>
      </c>
      <c r="G47" s="7">
        <v>0.999</v>
      </c>
      <c r="H47" s="2" t="str">
        <f t="shared" si="3"/>
        <v>Cumple</v>
      </c>
    </row>
    <row r="48" spans="1:8" ht="30" customHeight="1">
      <c r="A48" s="2" t="s">
        <v>16</v>
      </c>
      <c r="B48" s="2" t="s">
        <v>112</v>
      </c>
      <c r="C48" s="2">
        <v>744</v>
      </c>
      <c r="D48" s="2">
        <v>0.74</v>
      </c>
      <c r="E48" s="7">
        <f t="shared" si="2"/>
        <v>0.99900537634408604</v>
      </c>
      <c r="F48" s="2">
        <v>1</v>
      </c>
      <c r="G48" s="7">
        <v>0.999</v>
      </c>
      <c r="H48" s="2" t="str">
        <f t="shared" si="3"/>
        <v>Cumple</v>
      </c>
    </row>
    <row r="49" spans="1:8" ht="30" customHeight="1">
      <c r="A49" s="2" t="s">
        <v>16</v>
      </c>
      <c r="B49" s="2" t="s">
        <v>138</v>
      </c>
      <c r="C49" s="2">
        <v>744</v>
      </c>
      <c r="D49" s="2">
        <v>3.41</v>
      </c>
      <c r="E49" s="7">
        <f t="shared" si="2"/>
        <v>0.99541666666666662</v>
      </c>
      <c r="F49" s="2">
        <v>3</v>
      </c>
      <c r="G49" s="7">
        <v>0.995</v>
      </c>
      <c r="H49" s="2" t="str">
        <f t="shared" si="3"/>
        <v>Cumple</v>
      </c>
    </row>
    <row r="50" spans="1:8" ht="30" customHeight="1">
      <c r="A50" s="2" t="s">
        <v>17</v>
      </c>
      <c r="B50" s="2" t="s">
        <v>122</v>
      </c>
      <c r="C50" s="2">
        <v>720</v>
      </c>
      <c r="D50" s="2">
        <v>2.27</v>
      </c>
      <c r="E50" s="7">
        <f t="shared" si="2"/>
        <v>0.99684722222222222</v>
      </c>
      <c r="F50" s="2">
        <v>2</v>
      </c>
      <c r="G50" s="7">
        <v>0.997</v>
      </c>
      <c r="H50" s="2" t="str">
        <f t="shared" si="3"/>
        <v>No cumple</v>
      </c>
    </row>
    <row r="51" spans="1:8" ht="30" customHeight="1">
      <c r="A51" s="2" t="s">
        <v>17</v>
      </c>
      <c r="B51" s="2" t="s">
        <v>106</v>
      </c>
      <c r="C51" s="2">
        <v>720</v>
      </c>
      <c r="D51" s="2">
        <v>0.71</v>
      </c>
      <c r="E51" s="7">
        <f t="shared" si="2"/>
        <v>0.99901388888888887</v>
      </c>
      <c r="F51" s="2">
        <v>1</v>
      </c>
      <c r="G51" s="7">
        <v>0.995</v>
      </c>
      <c r="H51" s="2" t="str">
        <f t="shared" si="3"/>
        <v>Cumple</v>
      </c>
    </row>
    <row r="52" spans="1:8" ht="30" customHeight="1">
      <c r="A52" s="2" t="s">
        <v>17</v>
      </c>
      <c r="B52" s="2" t="s">
        <v>133</v>
      </c>
      <c r="C52" s="2">
        <v>720</v>
      </c>
      <c r="D52" s="2">
        <v>5.36</v>
      </c>
      <c r="E52" s="7">
        <f t="shared" si="2"/>
        <v>0.99255555555555552</v>
      </c>
      <c r="F52" s="2">
        <v>5</v>
      </c>
      <c r="G52" s="7">
        <v>0.995</v>
      </c>
      <c r="H52" s="2" t="str">
        <f t="shared" si="3"/>
        <v>No cumple</v>
      </c>
    </row>
    <row r="53" spans="1:8" ht="30" customHeight="1">
      <c r="A53" s="2" t="s">
        <v>17</v>
      </c>
      <c r="B53" s="2" t="s">
        <v>118</v>
      </c>
      <c r="C53" s="2">
        <v>720</v>
      </c>
      <c r="D53" s="2">
        <v>1.07</v>
      </c>
      <c r="E53" s="7">
        <f t="shared" si="2"/>
        <v>0.99851388888888892</v>
      </c>
      <c r="F53" s="2">
        <v>1</v>
      </c>
      <c r="G53" s="7">
        <v>0.999</v>
      </c>
      <c r="H53" s="2" t="str">
        <f t="shared" si="3"/>
        <v>No cumple</v>
      </c>
    </row>
    <row r="54" spans="1:8" ht="30" customHeight="1">
      <c r="A54" s="2" t="s">
        <v>17</v>
      </c>
      <c r="B54" s="2" t="s">
        <v>112</v>
      </c>
      <c r="C54" s="2">
        <v>720</v>
      </c>
      <c r="D54" s="2">
        <v>1.1299999999999999</v>
      </c>
      <c r="E54" s="7">
        <f t="shared" si="2"/>
        <v>0.9984305555555556</v>
      </c>
      <c r="F54" s="2">
        <v>1</v>
      </c>
      <c r="G54" s="7">
        <v>0.999</v>
      </c>
      <c r="H54" s="2" t="str">
        <f t="shared" si="3"/>
        <v>No cumple</v>
      </c>
    </row>
    <row r="55" spans="1:8" ht="30" customHeight="1">
      <c r="A55" s="2" t="s">
        <v>17</v>
      </c>
      <c r="B55" s="2" t="s">
        <v>138</v>
      </c>
      <c r="C55" s="2">
        <v>720</v>
      </c>
      <c r="D55" s="2">
        <v>1.81</v>
      </c>
      <c r="E55" s="7">
        <f t="shared" si="2"/>
        <v>0.99748611111111107</v>
      </c>
      <c r="F55" s="2">
        <v>2</v>
      </c>
      <c r="G55" s="7">
        <v>0.995</v>
      </c>
      <c r="H55" s="2" t="str">
        <f t="shared" si="3"/>
        <v>Cumple</v>
      </c>
    </row>
    <row r="56" spans="1:8" ht="30" customHeight="1">
      <c r="A56" s="2" t="s">
        <v>18</v>
      </c>
      <c r="B56" s="2" t="s">
        <v>122</v>
      </c>
      <c r="C56" s="2">
        <v>744</v>
      </c>
      <c r="D56" s="2">
        <v>1.84</v>
      </c>
      <c r="E56" s="7">
        <f t="shared" si="2"/>
        <v>0.99752688172043014</v>
      </c>
      <c r="F56" s="2">
        <v>1</v>
      </c>
      <c r="G56" s="7">
        <v>0.997</v>
      </c>
      <c r="H56" s="2" t="str">
        <f t="shared" si="3"/>
        <v>Cumple</v>
      </c>
    </row>
    <row r="57" spans="1:8" ht="30" customHeight="1">
      <c r="A57" s="2" t="s">
        <v>18</v>
      </c>
      <c r="B57" s="2" t="s">
        <v>106</v>
      </c>
      <c r="C57" s="2">
        <v>744</v>
      </c>
      <c r="D57" s="2">
        <v>2.2200000000000002</v>
      </c>
      <c r="E57" s="7">
        <f t="shared" si="2"/>
        <v>0.99701612903225811</v>
      </c>
      <c r="F57" s="2">
        <v>3</v>
      </c>
      <c r="G57" s="7">
        <v>0.995</v>
      </c>
      <c r="H57" s="2" t="str">
        <f t="shared" si="3"/>
        <v>Cumple</v>
      </c>
    </row>
    <row r="58" spans="1:8" ht="30" customHeight="1">
      <c r="A58" s="2" t="s">
        <v>18</v>
      </c>
      <c r="B58" s="2" t="s">
        <v>133</v>
      </c>
      <c r="C58" s="2">
        <v>744</v>
      </c>
      <c r="D58" s="2">
        <v>1.78</v>
      </c>
      <c r="E58" s="7">
        <f t="shared" si="2"/>
        <v>0.99760752688172039</v>
      </c>
      <c r="F58" s="2">
        <v>1</v>
      </c>
      <c r="G58" s="7">
        <v>0.995</v>
      </c>
      <c r="H58" s="2" t="str">
        <f t="shared" si="3"/>
        <v>Cumple</v>
      </c>
    </row>
    <row r="59" spans="1:8" ht="30" customHeight="1">
      <c r="A59" s="2" t="s">
        <v>18</v>
      </c>
      <c r="B59" s="2" t="s">
        <v>118</v>
      </c>
      <c r="C59" s="2">
        <v>744</v>
      </c>
      <c r="D59" s="2">
        <v>1.1100000000000001</v>
      </c>
      <c r="E59" s="7">
        <f t="shared" si="2"/>
        <v>0.99850806451612906</v>
      </c>
      <c r="F59" s="2">
        <v>1</v>
      </c>
      <c r="G59" s="7">
        <v>0.999</v>
      </c>
      <c r="H59" s="2" t="str">
        <f t="shared" si="3"/>
        <v>No cumple</v>
      </c>
    </row>
    <row r="60" spans="1:8" ht="30" customHeight="1">
      <c r="A60" s="2" t="s">
        <v>18</v>
      </c>
      <c r="B60" s="2" t="s">
        <v>112</v>
      </c>
      <c r="C60" s="2">
        <v>744</v>
      </c>
      <c r="D60" s="2">
        <v>0.84</v>
      </c>
      <c r="E60" s="7">
        <f t="shared" si="2"/>
        <v>0.99887096774193551</v>
      </c>
      <c r="F60" s="2">
        <v>1</v>
      </c>
      <c r="G60" s="7">
        <v>0.999</v>
      </c>
      <c r="H60" s="2" t="str">
        <f t="shared" si="3"/>
        <v>No cumple</v>
      </c>
    </row>
    <row r="61" spans="1:8" ht="30" customHeight="1">
      <c r="A61" s="2" t="s">
        <v>18</v>
      </c>
      <c r="B61" s="2" t="s">
        <v>138</v>
      </c>
      <c r="C61" s="2">
        <v>744</v>
      </c>
      <c r="D61" s="2">
        <v>0.57999999999999996</v>
      </c>
      <c r="E61" s="7">
        <f t="shared" si="2"/>
        <v>0.99922043010752692</v>
      </c>
      <c r="F61" s="2">
        <v>1</v>
      </c>
      <c r="G61" s="7">
        <v>0.995</v>
      </c>
      <c r="H61" s="2" t="str">
        <f t="shared" si="3"/>
        <v>Cumple</v>
      </c>
    </row>
    <row r="62" spans="1:8" ht="30" customHeight="1">
      <c r="A62" s="2" t="s">
        <v>19</v>
      </c>
      <c r="B62" s="2" t="s">
        <v>122</v>
      </c>
      <c r="C62" s="2">
        <v>720</v>
      </c>
      <c r="D62" s="2">
        <v>0.76</v>
      </c>
      <c r="E62" s="7">
        <f t="shared" si="2"/>
        <v>0.99894444444444441</v>
      </c>
      <c r="F62" s="2">
        <v>1</v>
      </c>
      <c r="G62" s="7">
        <v>0.997</v>
      </c>
      <c r="H62" s="2" t="str">
        <f t="shared" si="3"/>
        <v>Cumple</v>
      </c>
    </row>
    <row r="63" spans="1:8" ht="30" customHeight="1">
      <c r="A63" s="2" t="s">
        <v>19</v>
      </c>
      <c r="B63" s="2" t="s">
        <v>106</v>
      </c>
      <c r="C63" s="2">
        <v>720</v>
      </c>
      <c r="D63" s="2">
        <v>3.26</v>
      </c>
      <c r="E63" s="7">
        <f t="shared" si="2"/>
        <v>0.9954722222222222</v>
      </c>
      <c r="F63" s="2">
        <v>4</v>
      </c>
      <c r="G63" s="7">
        <v>0.995</v>
      </c>
      <c r="H63" s="2" t="str">
        <f t="shared" si="3"/>
        <v>Cumple</v>
      </c>
    </row>
    <row r="64" spans="1:8" ht="30" customHeight="1">
      <c r="A64" s="2" t="s">
        <v>19</v>
      </c>
      <c r="B64" s="2" t="s">
        <v>133</v>
      </c>
      <c r="C64" s="2">
        <v>720</v>
      </c>
      <c r="D64" s="2">
        <v>2.17</v>
      </c>
      <c r="E64" s="7">
        <f t="shared" si="2"/>
        <v>0.99698611111111113</v>
      </c>
      <c r="F64" s="2">
        <v>2</v>
      </c>
      <c r="G64" s="7">
        <v>0.995</v>
      </c>
      <c r="H64" s="2" t="str">
        <f t="shared" si="3"/>
        <v>Cumple</v>
      </c>
    </row>
    <row r="65" spans="1:8" ht="30" customHeight="1">
      <c r="A65" s="2" t="s">
        <v>19</v>
      </c>
      <c r="B65" s="2" t="s">
        <v>118</v>
      </c>
      <c r="C65" s="2">
        <v>720</v>
      </c>
      <c r="D65" s="2">
        <v>0.17</v>
      </c>
      <c r="E65" s="7">
        <f t="shared" si="2"/>
        <v>0.9997638888888889</v>
      </c>
      <c r="F65" s="2">
        <v>1</v>
      </c>
      <c r="G65" s="7">
        <v>0.999</v>
      </c>
      <c r="H65" s="2" t="str">
        <f t="shared" si="3"/>
        <v>Cumple</v>
      </c>
    </row>
    <row r="66" spans="1:8" ht="30" customHeight="1">
      <c r="A66" s="2" t="s">
        <v>19</v>
      </c>
      <c r="B66" s="2" t="s">
        <v>112</v>
      </c>
      <c r="C66" s="2">
        <v>720</v>
      </c>
      <c r="D66" s="2">
        <v>0.63</v>
      </c>
      <c r="E66" s="7">
        <f t="shared" ref="E66:E97" si="4">1-(D66/C66)</f>
        <v>0.99912500000000004</v>
      </c>
      <c r="F66" s="2">
        <v>1</v>
      </c>
      <c r="G66" s="7">
        <v>0.999</v>
      </c>
      <c r="H66" s="2" t="str">
        <f t="shared" ref="H66:H97" si="5">IF(E66&gt;=G66,"Cumple","No cumple")</f>
        <v>Cumple</v>
      </c>
    </row>
    <row r="67" spans="1:8" ht="30" customHeight="1">
      <c r="A67" s="2" t="s">
        <v>19</v>
      </c>
      <c r="B67" s="2" t="s">
        <v>138</v>
      </c>
      <c r="C67" s="2">
        <v>720</v>
      </c>
      <c r="D67" s="2">
        <v>1.18</v>
      </c>
      <c r="E67" s="7">
        <f t="shared" si="4"/>
        <v>0.99836111111111114</v>
      </c>
      <c r="F67" s="2">
        <v>1</v>
      </c>
      <c r="G67" s="7">
        <v>0.995</v>
      </c>
      <c r="H67" s="2" t="str">
        <f t="shared" si="5"/>
        <v>Cumple</v>
      </c>
    </row>
    <row r="68" spans="1:8" ht="30" customHeight="1">
      <c r="A68" s="2" t="s">
        <v>20</v>
      </c>
      <c r="B68" s="2" t="s">
        <v>122</v>
      </c>
      <c r="C68" s="2">
        <v>744</v>
      </c>
      <c r="D68" s="2">
        <v>2.59</v>
      </c>
      <c r="E68" s="7">
        <f t="shared" si="4"/>
        <v>0.99651881720430102</v>
      </c>
      <c r="F68" s="2">
        <v>1</v>
      </c>
      <c r="G68" s="7">
        <v>0.997</v>
      </c>
      <c r="H68" s="2" t="str">
        <f t="shared" si="5"/>
        <v>No cumple</v>
      </c>
    </row>
    <row r="69" spans="1:8" ht="30" customHeight="1">
      <c r="A69" s="2" t="s">
        <v>20</v>
      </c>
      <c r="B69" s="2" t="s">
        <v>106</v>
      </c>
      <c r="C69" s="2">
        <v>744</v>
      </c>
      <c r="D69" s="2">
        <v>1.1100000000000001</v>
      </c>
      <c r="E69" s="7">
        <f t="shared" si="4"/>
        <v>0.99850806451612906</v>
      </c>
      <c r="F69" s="2">
        <v>1</v>
      </c>
      <c r="G69" s="7">
        <v>0.995</v>
      </c>
      <c r="H69" s="2" t="str">
        <f t="shared" si="5"/>
        <v>Cumple</v>
      </c>
    </row>
    <row r="70" spans="1:8" ht="30" customHeight="1">
      <c r="A70" s="2" t="s">
        <v>20</v>
      </c>
      <c r="B70" s="2" t="s">
        <v>133</v>
      </c>
      <c r="C70" s="2">
        <v>744</v>
      </c>
      <c r="D70" s="2">
        <v>1.61</v>
      </c>
      <c r="E70" s="7">
        <f t="shared" si="4"/>
        <v>0.99783602150537631</v>
      </c>
      <c r="F70" s="2">
        <v>1</v>
      </c>
      <c r="G70" s="7">
        <v>0.995</v>
      </c>
      <c r="H70" s="2" t="str">
        <f t="shared" si="5"/>
        <v>Cumple</v>
      </c>
    </row>
    <row r="71" spans="1:8" ht="30" customHeight="1">
      <c r="A71" s="2" t="s">
        <v>20</v>
      </c>
      <c r="B71" s="2" t="s">
        <v>118</v>
      </c>
      <c r="C71" s="2">
        <v>744</v>
      </c>
      <c r="D71" s="2">
        <v>0.51</v>
      </c>
      <c r="E71" s="7">
        <f t="shared" si="4"/>
        <v>0.99931451612903222</v>
      </c>
      <c r="F71" s="2">
        <v>1</v>
      </c>
      <c r="G71" s="7">
        <v>0.999</v>
      </c>
      <c r="H71" s="2" t="str">
        <f t="shared" si="5"/>
        <v>Cumple</v>
      </c>
    </row>
    <row r="72" spans="1:8" ht="30" customHeight="1">
      <c r="A72" s="2" t="s">
        <v>20</v>
      </c>
      <c r="B72" s="2" t="s">
        <v>112</v>
      </c>
      <c r="C72" s="2">
        <v>744</v>
      </c>
      <c r="D72" s="2">
        <v>0.41</v>
      </c>
      <c r="E72" s="7">
        <f t="shared" si="4"/>
        <v>0.99944892473118274</v>
      </c>
      <c r="F72" s="2">
        <v>1</v>
      </c>
      <c r="G72" s="7">
        <v>0.999</v>
      </c>
      <c r="H72" s="2" t="str">
        <f t="shared" si="5"/>
        <v>Cumple</v>
      </c>
    </row>
    <row r="73" spans="1:8" ht="30" customHeight="1">
      <c r="A73" s="2" t="s">
        <v>20</v>
      </c>
      <c r="B73" s="2" t="s">
        <v>138</v>
      </c>
      <c r="C73" s="2">
        <v>744</v>
      </c>
      <c r="D73" s="2">
        <v>3.95</v>
      </c>
      <c r="E73" s="7">
        <f t="shared" si="4"/>
        <v>0.99469086021505382</v>
      </c>
      <c r="F73" s="2">
        <v>3</v>
      </c>
      <c r="G73" s="7">
        <v>0.995</v>
      </c>
      <c r="H73" s="2" t="str">
        <f t="shared" si="5"/>
        <v>No cumple</v>
      </c>
    </row>
  </sheetData>
  <conditionalFormatting sqref="E2:E7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H2:H73">
    <cfRule type="expression" dxfId="9" priority="2">
      <formula>OR(H2="Óptimo",H2="Cumple",H2="Cerrado",H2="Completado",H2="Verde")</formula>
    </cfRule>
    <cfRule type="expression" dxfId="8" priority="3">
      <formula>OR(H2="Controlado",H2="En seguimiento",H2="En ejecución",H2="Amarillo")</formula>
    </cfRule>
    <cfRule type="expression" dxfId="7" priority="4">
      <formula>OR(H2="Requiere atención",H2="No cumple",H2="Abierto",H2="Atrasado",H2="Rojo")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1"/>
  <sheetViews>
    <sheetView workbookViewId="0"/>
  </sheetViews>
  <sheetFormatPr baseColWidth="10" defaultColWidth="9" defaultRowHeight="14.25"/>
  <cols>
    <col min="1" max="1" width="14" customWidth="1"/>
    <col min="2" max="2" width="38" customWidth="1"/>
    <col min="3" max="3" width="23" customWidth="1"/>
    <col min="4" max="6" width="20" customWidth="1"/>
    <col min="7" max="8" width="18" customWidth="1"/>
    <col min="9" max="9" width="17" customWidth="1"/>
    <col min="10" max="10" width="16" customWidth="1"/>
    <col min="11" max="11" width="22" customWidth="1"/>
    <col min="12" max="12" width="28" customWidth="1"/>
  </cols>
  <sheetData>
    <row r="1" spans="1:12" ht="33.950000000000003" customHeight="1">
      <c r="A1" s="1" t="s">
        <v>256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266</v>
      </c>
      <c r="L1" s="1" t="s">
        <v>215</v>
      </c>
    </row>
    <row r="2" spans="1:12" ht="30" customHeight="1">
      <c r="A2" s="2" t="s">
        <v>267</v>
      </c>
      <c r="B2" s="2" t="s">
        <v>268</v>
      </c>
      <c r="C2" s="2" t="s">
        <v>269</v>
      </c>
      <c r="D2" s="8">
        <v>850000</v>
      </c>
      <c r="E2" s="8">
        <v>396718.97</v>
      </c>
      <c r="F2" s="4">
        <f t="shared" ref="F2:F21" si="0">IFERROR(E2/D2,0)</f>
        <v>0.46672819999999998</v>
      </c>
      <c r="G2" s="4">
        <v>0.49</v>
      </c>
      <c r="H2" s="2" t="s">
        <v>219</v>
      </c>
      <c r="I2" s="2" t="s">
        <v>109</v>
      </c>
      <c r="J2" s="5">
        <v>45887</v>
      </c>
      <c r="K2" s="5">
        <v>46055</v>
      </c>
      <c r="L2" s="2" t="s">
        <v>233</v>
      </c>
    </row>
    <row r="3" spans="1:12" ht="30" customHeight="1">
      <c r="A3" s="2" t="s">
        <v>270</v>
      </c>
      <c r="B3" s="2" t="s">
        <v>271</v>
      </c>
      <c r="C3" s="2" t="s">
        <v>272</v>
      </c>
      <c r="D3" s="8">
        <v>3350000</v>
      </c>
      <c r="E3" s="8">
        <v>1237092.21</v>
      </c>
      <c r="F3" s="4">
        <f t="shared" si="0"/>
        <v>0.36928125671641787</v>
      </c>
      <c r="G3" s="4">
        <v>0.35</v>
      </c>
      <c r="H3" s="2" t="s">
        <v>219</v>
      </c>
      <c r="I3" s="2" t="s">
        <v>128</v>
      </c>
      <c r="J3" s="5">
        <v>45881</v>
      </c>
      <c r="K3" s="5">
        <v>46246</v>
      </c>
      <c r="L3" s="2" t="s">
        <v>233</v>
      </c>
    </row>
    <row r="4" spans="1:12" ht="30" customHeight="1">
      <c r="A4" s="2" t="s">
        <v>273</v>
      </c>
      <c r="B4" s="2" t="s">
        <v>274</v>
      </c>
      <c r="C4" s="2" t="s">
        <v>73</v>
      </c>
      <c r="D4" s="8">
        <v>6100000</v>
      </c>
      <c r="E4" s="8">
        <v>1560877.82</v>
      </c>
      <c r="F4" s="4">
        <f t="shared" si="0"/>
        <v>0.25588160983606556</v>
      </c>
      <c r="G4" s="4">
        <v>0.31</v>
      </c>
      <c r="H4" s="2" t="s">
        <v>275</v>
      </c>
      <c r="I4" s="2" t="s">
        <v>115</v>
      </c>
      <c r="J4" s="5">
        <v>45670</v>
      </c>
      <c r="K4" s="5">
        <v>45932</v>
      </c>
      <c r="L4" s="2" t="s">
        <v>233</v>
      </c>
    </row>
    <row r="5" spans="1:12" ht="30" customHeight="1">
      <c r="A5" s="2" t="s">
        <v>276</v>
      </c>
      <c r="B5" s="2" t="s">
        <v>277</v>
      </c>
      <c r="C5" s="2" t="s">
        <v>36</v>
      </c>
      <c r="D5" s="8">
        <v>5300000</v>
      </c>
      <c r="E5" s="8">
        <v>3307949.85</v>
      </c>
      <c r="F5" s="4">
        <f t="shared" si="0"/>
        <v>0.62414148113207546</v>
      </c>
      <c r="G5" s="4">
        <v>0.69</v>
      </c>
      <c r="H5" s="2" t="s">
        <v>275</v>
      </c>
      <c r="I5" s="2" t="s">
        <v>128</v>
      </c>
      <c r="J5" s="5">
        <v>45703</v>
      </c>
      <c r="K5" s="5">
        <v>45932</v>
      </c>
      <c r="L5" s="2" t="s">
        <v>278</v>
      </c>
    </row>
    <row r="6" spans="1:12" ht="30" customHeight="1">
      <c r="A6" s="2" t="s">
        <v>279</v>
      </c>
      <c r="B6" s="2" t="s">
        <v>280</v>
      </c>
      <c r="C6" s="2" t="s">
        <v>281</v>
      </c>
      <c r="D6" s="8">
        <v>4400000</v>
      </c>
      <c r="E6" s="8">
        <v>1301104.76</v>
      </c>
      <c r="F6" s="4">
        <f t="shared" si="0"/>
        <v>0.29570562727272726</v>
      </c>
      <c r="G6" s="4">
        <v>0.34</v>
      </c>
      <c r="H6" s="2" t="s">
        <v>282</v>
      </c>
      <c r="I6" s="2" t="s">
        <v>115</v>
      </c>
      <c r="J6" s="5">
        <v>45666</v>
      </c>
      <c r="K6" s="5">
        <v>46082</v>
      </c>
      <c r="L6" s="2" t="s">
        <v>233</v>
      </c>
    </row>
    <row r="7" spans="1:12" ht="30" customHeight="1">
      <c r="A7" s="2" t="s">
        <v>283</v>
      </c>
      <c r="B7" s="2" t="s">
        <v>284</v>
      </c>
      <c r="C7" s="2" t="s">
        <v>46</v>
      </c>
      <c r="D7" s="8">
        <v>6800000</v>
      </c>
      <c r="E7" s="8">
        <v>5895470.9900000002</v>
      </c>
      <c r="F7" s="4">
        <f t="shared" si="0"/>
        <v>0.86698102794117649</v>
      </c>
      <c r="G7" s="4">
        <v>0.93</v>
      </c>
      <c r="H7" s="2" t="s">
        <v>219</v>
      </c>
      <c r="I7" s="2" t="s">
        <v>115</v>
      </c>
      <c r="J7" s="5">
        <v>45787</v>
      </c>
      <c r="K7" s="5">
        <v>46118</v>
      </c>
      <c r="L7" s="2" t="s">
        <v>278</v>
      </c>
    </row>
    <row r="8" spans="1:12" ht="30" customHeight="1">
      <c r="A8" s="2" t="s">
        <v>285</v>
      </c>
      <c r="B8" s="2" t="s">
        <v>286</v>
      </c>
      <c r="C8" s="2" t="s">
        <v>287</v>
      </c>
      <c r="D8" s="8">
        <v>3850000</v>
      </c>
      <c r="E8" s="8">
        <v>1320528.3400000001</v>
      </c>
      <c r="F8" s="4">
        <f t="shared" si="0"/>
        <v>0.34299437402597405</v>
      </c>
      <c r="G8" s="4">
        <v>0.37</v>
      </c>
      <c r="H8" s="2" t="s">
        <v>219</v>
      </c>
      <c r="I8" s="2" t="s">
        <v>115</v>
      </c>
      <c r="J8" s="5">
        <v>45886</v>
      </c>
      <c r="K8" s="5">
        <v>46148</v>
      </c>
      <c r="L8" s="2" t="s">
        <v>223</v>
      </c>
    </row>
    <row r="9" spans="1:12" ht="30" customHeight="1">
      <c r="A9" s="2" t="s">
        <v>288</v>
      </c>
      <c r="B9" s="2" t="s">
        <v>289</v>
      </c>
      <c r="C9" s="2" t="s">
        <v>36</v>
      </c>
      <c r="D9" s="8">
        <v>2000000</v>
      </c>
      <c r="E9" s="8">
        <v>885688.19</v>
      </c>
      <c r="F9" s="4">
        <f t="shared" si="0"/>
        <v>0.44284409499999999</v>
      </c>
      <c r="G9" s="4">
        <v>0.54</v>
      </c>
      <c r="H9" s="2" t="s">
        <v>275</v>
      </c>
      <c r="I9" s="2" t="s">
        <v>115</v>
      </c>
      <c r="J9" s="5">
        <v>45758</v>
      </c>
      <c r="K9" s="5">
        <v>46001</v>
      </c>
      <c r="L9" s="2" t="s">
        <v>223</v>
      </c>
    </row>
    <row r="10" spans="1:12" ht="30" customHeight="1">
      <c r="A10" s="2" t="s">
        <v>290</v>
      </c>
      <c r="B10" s="2" t="s">
        <v>291</v>
      </c>
      <c r="C10" s="2" t="s">
        <v>73</v>
      </c>
      <c r="D10" s="8">
        <v>1900000</v>
      </c>
      <c r="E10" s="8">
        <v>1627766.57</v>
      </c>
      <c r="F10" s="4">
        <f t="shared" si="0"/>
        <v>0.85671924736842109</v>
      </c>
      <c r="G10" s="4">
        <v>0.83</v>
      </c>
      <c r="H10" s="2" t="s">
        <v>219</v>
      </c>
      <c r="I10" s="2" t="s">
        <v>128</v>
      </c>
      <c r="J10" s="5">
        <v>45749</v>
      </c>
      <c r="K10" s="5">
        <v>46148</v>
      </c>
      <c r="L10" s="2" t="s">
        <v>223</v>
      </c>
    </row>
    <row r="11" spans="1:12" ht="30" customHeight="1">
      <c r="A11" s="2" t="s">
        <v>292</v>
      </c>
      <c r="B11" s="2" t="s">
        <v>293</v>
      </c>
      <c r="C11" s="2" t="s">
        <v>294</v>
      </c>
      <c r="D11" s="8">
        <v>5350000</v>
      </c>
      <c r="E11" s="8">
        <v>3169570.76</v>
      </c>
      <c r="F11" s="4">
        <f t="shared" si="0"/>
        <v>0.59244313271028037</v>
      </c>
      <c r="G11" s="4">
        <v>0.66</v>
      </c>
      <c r="H11" s="2" t="s">
        <v>219</v>
      </c>
      <c r="I11" s="2" t="s">
        <v>109</v>
      </c>
      <c r="J11" s="5">
        <v>45786</v>
      </c>
      <c r="K11" s="5">
        <v>46239</v>
      </c>
      <c r="L11" s="2" t="s">
        <v>220</v>
      </c>
    </row>
    <row r="12" spans="1:12" ht="30" customHeight="1">
      <c r="A12" s="2" t="s">
        <v>295</v>
      </c>
      <c r="B12" s="2" t="s">
        <v>296</v>
      </c>
      <c r="C12" s="2" t="s">
        <v>297</v>
      </c>
      <c r="D12" s="8">
        <v>1950000</v>
      </c>
      <c r="E12" s="8">
        <v>726643.76</v>
      </c>
      <c r="F12" s="4">
        <f t="shared" si="0"/>
        <v>0.37263782564102566</v>
      </c>
      <c r="G12" s="4">
        <v>0.44</v>
      </c>
      <c r="H12" s="2" t="s">
        <v>219</v>
      </c>
      <c r="I12" s="2" t="s">
        <v>128</v>
      </c>
      <c r="J12" s="5">
        <v>45786</v>
      </c>
      <c r="K12" s="5">
        <v>46064</v>
      </c>
      <c r="L12" s="2" t="s">
        <v>223</v>
      </c>
    </row>
    <row r="13" spans="1:12" ht="30" customHeight="1">
      <c r="A13" s="2" t="s">
        <v>298</v>
      </c>
      <c r="B13" s="2" t="s">
        <v>299</v>
      </c>
      <c r="C13" s="2" t="s">
        <v>73</v>
      </c>
      <c r="D13" s="8">
        <v>3500000</v>
      </c>
      <c r="E13" s="8">
        <v>1843755.34</v>
      </c>
      <c r="F13" s="4">
        <f t="shared" si="0"/>
        <v>0.52678723999999999</v>
      </c>
      <c r="G13" s="4">
        <v>0.61</v>
      </c>
      <c r="H13" s="2" t="s">
        <v>219</v>
      </c>
      <c r="I13" s="2" t="s">
        <v>115</v>
      </c>
      <c r="J13" s="5">
        <v>45856</v>
      </c>
      <c r="K13" s="5">
        <v>46175</v>
      </c>
      <c r="L13" s="2" t="s">
        <v>223</v>
      </c>
    </row>
    <row r="14" spans="1:12" ht="30" customHeight="1">
      <c r="A14" s="2" t="s">
        <v>300</v>
      </c>
      <c r="B14" s="2" t="s">
        <v>301</v>
      </c>
      <c r="C14" s="2" t="s">
        <v>32</v>
      </c>
      <c r="D14" s="8">
        <v>3250000</v>
      </c>
      <c r="E14" s="8">
        <v>2291590.2999999998</v>
      </c>
      <c r="F14" s="4">
        <f t="shared" si="0"/>
        <v>0.7051047076923076</v>
      </c>
      <c r="G14" s="4">
        <v>0.77</v>
      </c>
      <c r="H14" s="2" t="s">
        <v>219</v>
      </c>
      <c r="I14" s="2" t="s">
        <v>109</v>
      </c>
      <c r="J14" s="5">
        <v>45734</v>
      </c>
      <c r="K14" s="5">
        <v>46177</v>
      </c>
      <c r="L14" s="2" t="s">
        <v>278</v>
      </c>
    </row>
    <row r="15" spans="1:12" ht="30" customHeight="1">
      <c r="A15" s="2" t="s">
        <v>302</v>
      </c>
      <c r="B15" s="2" t="s">
        <v>303</v>
      </c>
      <c r="C15" s="2" t="s">
        <v>36</v>
      </c>
      <c r="D15" s="8">
        <v>800000</v>
      </c>
      <c r="E15" s="8">
        <v>281660.03000000003</v>
      </c>
      <c r="F15" s="4">
        <f t="shared" si="0"/>
        <v>0.35207503750000002</v>
      </c>
      <c r="G15" s="4">
        <v>0.36</v>
      </c>
      <c r="H15" s="2" t="s">
        <v>275</v>
      </c>
      <c r="I15" s="2" t="s">
        <v>115</v>
      </c>
      <c r="J15" s="5">
        <v>45848</v>
      </c>
      <c r="K15" s="5">
        <v>46011</v>
      </c>
      <c r="L15" s="2" t="s">
        <v>304</v>
      </c>
    </row>
    <row r="16" spans="1:12" ht="30" customHeight="1">
      <c r="A16" s="2" t="s">
        <v>305</v>
      </c>
      <c r="B16" s="2" t="s">
        <v>306</v>
      </c>
      <c r="C16" s="2" t="s">
        <v>307</v>
      </c>
      <c r="D16" s="8">
        <v>5000000</v>
      </c>
      <c r="E16" s="8">
        <v>2696927.49</v>
      </c>
      <c r="F16" s="4">
        <f t="shared" si="0"/>
        <v>0.53938549800000002</v>
      </c>
      <c r="G16" s="4">
        <v>0.51</v>
      </c>
      <c r="H16" s="2" t="s">
        <v>219</v>
      </c>
      <c r="I16" s="2" t="s">
        <v>128</v>
      </c>
      <c r="J16" s="5">
        <v>45917</v>
      </c>
      <c r="K16" s="5">
        <v>46366</v>
      </c>
      <c r="L16" s="2" t="s">
        <v>304</v>
      </c>
    </row>
    <row r="17" spans="1:12" ht="30" customHeight="1">
      <c r="A17" s="2" t="s">
        <v>308</v>
      </c>
      <c r="B17" s="2" t="s">
        <v>309</v>
      </c>
      <c r="C17" s="2" t="s">
        <v>297</v>
      </c>
      <c r="D17" s="8">
        <v>5200000</v>
      </c>
      <c r="E17" s="8">
        <v>3832850.85</v>
      </c>
      <c r="F17" s="4">
        <f t="shared" si="0"/>
        <v>0.7370867019230769</v>
      </c>
      <c r="G17" s="4">
        <v>0.71</v>
      </c>
      <c r="H17" s="2" t="s">
        <v>219</v>
      </c>
      <c r="I17" s="2" t="s">
        <v>109</v>
      </c>
      <c r="J17" s="5">
        <v>45734</v>
      </c>
      <c r="K17" s="5">
        <v>46036</v>
      </c>
      <c r="L17" s="2" t="s">
        <v>278</v>
      </c>
    </row>
    <row r="18" spans="1:12" ht="30" customHeight="1">
      <c r="A18" s="2" t="s">
        <v>310</v>
      </c>
      <c r="B18" s="2" t="s">
        <v>311</v>
      </c>
      <c r="C18" s="2" t="s">
        <v>46</v>
      </c>
      <c r="D18" s="8">
        <v>2550000</v>
      </c>
      <c r="E18" s="8">
        <v>684282.96</v>
      </c>
      <c r="F18" s="4">
        <f t="shared" si="0"/>
        <v>0.26834625882352942</v>
      </c>
      <c r="G18" s="4">
        <v>0.26</v>
      </c>
      <c r="H18" s="2" t="s">
        <v>282</v>
      </c>
      <c r="I18" s="2" t="s">
        <v>109</v>
      </c>
      <c r="J18" s="5">
        <v>45736</v>
      </c>
      <c r="K18" s="5">
        <v>46126</v>
      </c>
      <c r="L18" s="2" t="s">
        <v>220</v>
      </c>
    </row>
    <row r="19" spans="1:12" ht="30" customHeight="1">
      <c r="A19" s="2" t="s">
        <v>312</v>
      </c>
      <c r="B19" s="2" t="s">
        <v>313</v>
      </c>
      <c r="C19" s="2" t="s">
        <v>314</v>
      </c>
      <c r="D19" s="8">
        <v>7100000</v>
      </c>
      <c r="E19" s="8">
        <v>6965534.3799999999</v>
      </c>
      <c r="F19" s="4">
        <f t="shared" si="0"/>
        <v>0.98106118028169009</v>
      </c>
      <c r="G19" s="4">
        <v>0.95</v>
      </c>
      <c r="H19" s="2" t="s">
        <v>315</v>
      </c>
      <c r="I19" s="2" t="s">
        <v>115</v>
      </c>
      <c r="J19" s="5">
        <v>45844</v>
      </c>
      <c r="K19" s="5">
        <v>46061</v>
      </c>
      <c r="L19" s="2" t="s">
        <v>233</v>
      </c>
    </row>
    <row r="20" spans="1:12" ht="30" customHeight="1">
      <c r="A20" s="2" t="s">
        <v>316</v>
      </c>
      <c r="B20" s="2" t="s">
        <v>317</v>
      </c>
      <c r="C20" s="2" t="s">
        <v>318</v>
      </c>
      <c r="D20" s="8">
        <v>8350000</v>
      </c>
      <c r="E20" s="8">
        <v>2242912.38</v>
      </c>
      <c r="F20" s="4">
        <f t="shared" si="0"/>
        <v>0.26861226107784431</v>
      </c>
      <c r="G20" s="4">
        <v>0.32</v>
      </c>
      <c r="H20" s="2" t="s">
        <v>275</v>
      </c>
      <c r="I20" s="2" t="s">
        <v>128</v>
      </c>
      <c r="J20" s="5">
        <v>45852</v>
      </c>
      <c r="K20" s="5">
        <v>46004</v>
      </c>
      <c r="L20" s="2" t="s">
        <v>319</v>
      </c>
    </row>
    <row r="21" spans="1:12" ht="30" customHeight="1">
      <c r="A21" s="2" t="s">
        <v>320</v>
      </c>
      <c r="B21" s="2" t="s">
        <v>321</v>
      </c>
      <c r="C21" s="2" t="s">
        <v>294</v>
      </c>
      <c r="D21" s="8">
        <v>6650000</v>
      </c>
      <c r="E21" s="8">
        <v>3579553.89</v>
      </c>
      <c r="F21" s="4">
        <f t="shared" si="0"/>
        <v>0.53827878045112787</v>
      </c>
      <c r="G21" s="4">
        <v>0.61</v>
      </c>
      <c r="H21" s="2" t="s">
        <v>219</v>
      </c>
      <c r="I21" s="2" t="s">
        <v>115</v>
      </c>
      <c r="J21" s="5">
        <v>45849</v>
      </c>
      <c r="K21" s="5">
        <v>46062</v>
      </c>
      <c r="L21" s="2" t="s">
        <v>233</v>
      </c>
    </row>
  </sheetData>
  <conditionalFormatting sqref="F2:G21">
    <cfRule type="dataBar" priority="1">
      <dataBar>
        <cfvo type="min"/>
        <cfvo type="max"/>
        <color rgb="FF0F6B78"/>
      </dataBar>
    </cfRule>
    <cfRule type="dataBar" priority="6">
      <dataBar>
        <cfvo type="min"/>
        <cfvo type="max"/>
        <color rgb="FF0F6B78"/>
      </dataBar>
      <extLst>
        <ext xmlns:x14="http://schemas.microsoft.com/office/spreadsheetml/2009/9/main" uri="{B025F937-C7B1-47D3-B67F-A62EFF666E3E}">
          <x14:id>{D99217D0-3D5F-9288-6A2C-7A17FC6255BE}</x14:id>
        </ext>
      </extLst>
    </cfRule>
  </conditionalFormatting>
  <conditionalFormatting sqref="H2:H21">
    <cfRule type="expression" dxfId="6" priority="2">
      <formula>OR(H2="Óptimo",H2="Cumple",H2="Cerrado",H2="Completado",H2="Verde")</formula>
    </cfRule>
    <cfRule type="expression" dxfId="5" priority="3">
      <formula>OR(H2="Controlado",H2="En seguimiento",H2="En ejecución",H2="Amarillo")</formula>
    </cfRule>
    <cfRule type="expression" dxfId="4" priority="4">
      <formula>OR(H2="Requiere atención",H2="No cumple",H2="Abierto",H2="Atrasado",H2="Rojo")</formula>
    </cfRule>
  </conditionalFormatting>
  <conditionalFormatting sqref="I2:I21">
    <cfRule type="expression" dxfId="3" priority="5">
      <formula>I2="Alto"</formula>
    </cfRule>
  </conditionalFormatting>
  <dataValidations count="1">
    <dataValidation type="list" sqref="H2:H21" xr:uid="{00000000-0002-0000-0500-000000000000}">
      <formula1>"En planificación,En ejecución,Atrasado,Completado"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9217D0-3D5F-9288-6A2C-7A17FC6255BE}">
            <x14:dataBar>
              <x14:cfvo type="min"/>
              <x14:cfvo type="max"/>
              <x14:negativeFillColor auto="1"/>
              <x14:axisColor auto="1"/>
            </x14:dataBar>
          </x14:cfRule>
          <xm:sqref>F2:G21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workbookViewId="0"/>
  </sheetViews>
  <sheetFormatPr baseColWidth="10" defaultColWidth="9" defaultRowHeight="14.25"/>
  <cols>
    <col min="1" max="1" width="36" customWidth="1"/>
    <col min="2" max="2" width="22" customWidth="1"/>
    <col min="3" max="3" width="44" customWidth="1"/>
    <col min="4" max="4" width="14" customWidth="1"/>
    <col min="5" max="5" width="16" customWidth="1"/>
    <col min="6" max="6" width="14" customWidth="1"/>
    <col min="7" max="7" width="50" customWidth="1"/>
    <col min="8" max="8" width="18" customWidth="1"/>
  </cols>
  <sheetData>
    <row r="1" spans="1:8" ht="33.950000000000003" customHeight="1">
      <c r="A1" s="1" t="s">
        <v>322</v>
      </c>
      <c r="B1" s="1" t="s">
        <v>258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328</v>
      </c>
    </row>
    <row r="2" spans="1:8" ht="30" customHeight="1">
      <c r="A2" s="2" t="s">
        <v>329</v>
      </c>
      <c r="B2" s="2" t="s">
        <v>294</v>
      </c>
      <c r="C2" s="2" t="s">
        <v>330</v>
      </c>
      <c r="D2" s="3">
        <v>3.5</v>
      </c>
      <c r="E2" s="3">
        <f>AVERAGE(Resumen_Gobierno_TI!D2:D13)</f>
        <v>3.2774999999999999</v>
      </c>
      <c r="F2" s="2" t="str">
        <f>IF(E2&gt;=D2,"Verde",IF(E2&gt;=D2*0.9,"Amarillo","Rojo"))</f>
        <v>Amarillo</v>
      </c>
      <c r="G2" s="2" t="s">
        <v>331</v>
      </c>
      <c r="H2" s="2" t="s">
        <v>332</v>
      </c>
    </row>
    <row r="3" spans="1:8" ht="30" customHeight="1">
      <c r="A3" s="2" t="s">
        <v>333</v>
      </c>
      <c r="B3" s="2" t="s">
        <v>32</v>
      </c>
      <c r="C3" s="2" t="s">
        <v>334</v>
      </c>
      <c r="D3" s="4">
        <v>0.9</v>
      </c>
      <c r="E3" s="4">
        <f>AVERAGE(Resumen_Gobierno_TI!E2:E13)</f>
        <v>0.85158333333333325</v>
      </c>
      <c r="F3" s="2" t="str">
        <f>IF(E3&gt;=D3,"Verde",IF(E3&gt;=D3*0.9,"Amarillo","Rojo"))</f>
        <v>Amarillo</v>
      </c>
      <c r="G3" s="2" t="s">
        <v>335</v>
      </c>
      <c r="H3" s="2" t="s">
        <v>332</v>
      </c>
    </row>
    <row r="4" spans="1:8" ht="30" customHeight="1">
      <c r="A4" s="2" t="s">
        <v>336</v>
      </c>
      <c r="B4" s="2" t="s">
        <v>32</v>
      </c>
      <c r="C4" s="2" t="s">
        <v>337</v>
      </c>
      <c r="D4" s="4">
        <v>0.9</v>
      </c>
      <c r="E4" s="4">
        <f>AVERAGE(Resumen_Gobierno_TI!F2:F13)</f>
        <v>0.82933333333333337</v>
      </c>
      <c r="F4" s="2" t="str">
        <f>IF(E4&gt;=D4,"Verde",IF(E4&gt;=D4*0.9,"Amarillo","Rojo"))</f>
        <v>Amarillo</v>
      </c>
      <c r="G4" s="2" t="s">
        <v>338</v>
      </c>
      <c r="H4" s="2" t="s">
        <v>332</v>
      </c>
    </row>
    <row r="5" spans="1:8" ht="30" customHeight="1">
      <c r="A5" s="2" t="s">
        <v>339</v>
      </c>
      <c r="B5" s="2" t="s">
        <v>340</v>
      </c>
      <c r="C5" s="2" t="s">
        <v>341</v>
      </c>
      <c r="D5" s="4">
        <v>0.85</v>
      </c>
      <c r="E5" s="4">
        <f>AVERAGE(Resumen_Gobierno_TI!G2:G13)</f>
        <v>0.82766666666666655</v>
      </c>
      <c r="F5" s="2" t="str">
        <f>IF(E5&gt;=D5,"Verde",IF(E5&gt;=D5*0.9,"Amarillo","Rojo"))</f>
        <v>Amarillo</v>
      </c>
      <c r="G5" s="2" t="s">
        <v>342</v>
      </c>
      <c r="H5" s="2" t="s">
        <v>332</v>
      </c>
    </row>
    <row r="6" spans="1:8" ht="30" customHeight="1">
      <c r="A6" s="2" t="s">
        <v>343</v>
      </c>
      <c r="B6" s="2" t="s">
        <v>344</v>
      </c>
      <c r="C6" s="2" t="s">
        <v>345</v>
      </c>
      <c r="D6" s="9">
        <v>3</v>
      </c>
      <c r="E6" s="9">
        <f>COUNTIFS(Riesgos_TI!F2:F37,"Crítico",Riesgos_TI!H2:H37,"&lt;&gt;Cerrado")</f>
        <v>2</v>
      </c>
      <c r="F6" s="2" t="str">
        <f>IF(E6&lt;=D6,"Verde",IF(E6&lt;=D6*1.2,"Amarillo","Rojo"))</f>
        <v>Verde</v>
      </c>
      <c r="G6" s="2" t="s">
        <v>346</v>
      </c>
      <c r="H6" s="2" t="s">
        <v>347</v>
      </c>
    </row>
    <row r="7" spans="1:8" ht="30" customHeight="1">
      <c r="A7" s="2" t="s">
        <v>348</v>
      </c>
      <c r="B7" s="2" t="s">
        <v>349</v>
      </c>
      <c r="C7" s="2" t="s">
        <v>350</v>
      </c>
      <c r="D7" s="6">
        <v>8</v>
      </c>
      <c r="E7" s="6">
        <f>AVERAGEIF(Incidentes_Servicios_TI!F2:F73,"&gt;0")</f>
        <v>17.447142857142865</v>
      </c>
      <c r="F7" s="2" t="str">
        <f>IF(E7&lt;=D7,"Verde",IF(E7&lt;=D7*1.2,"Amarillo","Rojo"))</f>
        <v>Rojo</v>
      </c>
      <c r="G7" s="2" t="s">
        <v>351</v>
      </c>
      <c r="H7" s="2" t="s">
        <v>347</v>
      </c>
    </row>
    <row r="8" spans="1:8" ht="30" customHeight="1">
      <c r="A8" s="2" t="s">
        <v>352</v>
      </c>
      <c r="B8" s="2" t="s">
        <v>353</v>
      </c>
      <c r="C8" s="2" t="s">
        <v>354</v>
      </c>
      <c r="D8" s="7">
        <v>0.995</v>
      </c>
      <c r="E8" s="7">
        <f>AVERAGE(Disponibilidad_Sistemas!E2:E73)</f>
        <v>0.99710074466988141</v>
      </c>
      <c r="F8" s="2" t="str">
        <f>IF(E8&gt;=D8,"Verde",IF(E8&gt;=D8*0.9,"Amarillo","Rojo"))</f>
        <v>Verde</v>
      </c>
      <c r="G8" s="2" t="s">
        <v>355</v>
      </c>
      <c r="H8" s="2" t="s">
        <v>332</v>
      </c>
    </row>
    <row r="9" spans="1:8" ht="30" customHeight="1">
      <c r="A9" s="2" t="s">
        <v>356</v>
      </c>
      <c r="B9" s="2" t="s">
        <v>353</v>
      </c>
      <c r="C9" s="2" t="s">
        <v>357</v>
      </c>
      <c r="D9" s="4">
        <v>0.95</v>
      </c>
      <c r="E9" s="4">
        <f>COUNTIF(Disponibilidad_Sistemas!H2:H73,"Cumple")/COUNTA(Disponibilidad_Sistemas!H2:H73)</f>
        <v>0.58333333333333337</v>
      </c>
      <c r="F9" s="2" t="str">
        <f>IF(E9&gt;=D9,"Verde",IF(E9&gt;=D9*0.9,"Amarillo","Rojo"))</f>
        <v>Rojo</v>
      </c>
      <c r="G9" s="2" t="s">
        <v>358</v>
      </c>
      <c r="H9" s="2" t="s">
        <v>332</v>
      </c>
    </row>
    <row r="10" spans="1:8" ht="30" customHeight="1">
      <c r="A10" s="2" t="s">
        <v>359</v>
      </c>
      <c r="B10" s="2" t="s">
        <v>360</v>
      </c>
      <c r="C10" s="2" t="s">
        <v>361</v>
      </c>
      <c r="D10" s="4">
        <v>0.7</v>
      </c>
      <c r="E10" s="4">
        <f>COUNTIF(Auditorias_TI!H2:H19,"Cerrado")/COUNTA(Auditorias_TI!A2:A19)</f>
        <v>0.27777777777777779</v>
      </c>
      <c r="F10" s="2" t="str">
        <f>IF(E10&gt;=D10,"Verde",IF(E10&gt;=D10*0.9,"Amarillo","Rojo"))</f>
        <v>Rojo</v>
      </c>
      <c r="G10" s="2" t="s">
        <v>362</v>
      </c>
      <c r="H10" s="2" t="s">
        <v>332</v>
      </c>
    </row>
    <row r="11" spans="1:8" ht="30" customHeight="1">
      <c r="A11" s="2" t="s">
        <v>363</v>
      </c>
      <c r="B11" s="2" t="s">
        <v>364</v>
      </c>
      <c r="C11" s="2" t="s">
        <v>365</v>
      </c>
      <c r="D11" s="4">
        <v>0.65</v>
      </c>
      <c r="E11" s="4">
        <f>AVERAGE(Proyectos_TI!G2:G21)</f>
        <v>0.55249999999999999</v>
      </c>
      <c r="F11" s="2" t="str">
        <f>IF(E11&gt;=D11,"Verde",IF(E11&gt;=D11*0.9,"Amarillo","Rojo"))</f>
        <v>Rojo</v>
      </c>
      <c r="G11" s="2" t="s">
        <v>366</v>
      </c>
      <c r="H11" s="2" t="s">
        <v>332</v>
      </c>
    </row>
    <row r="12" spans="1:8" ht="30" customHeight="1">
      <c r="A12" s="2" t="s">
        <v>367</v>
      </c>
      <c r="B12" s="2" t="s">
        <v>364</v>
      </c>
      <c r="C12" s="2" t="s">
        <v>368</v>
      </c>
      <c r="D12" s="4">
        <v>0.85</v>
      </c>
      <c r="E12" s="4">
        <f>SUM(Proyectos_TI!E2:E21)/SUM(Proyectos_TI!D2:D21)</f>
        <v>0.54419560640949571</v>
      </c>
      <c r="F12" s="2" t="str">
        <f>IF(E12&gt;=D12,"Verde",IF(E12&gt;=D12*0.9,"Amarillo","Rojo"))</f>
        <v>Rojo</v>
      </c>
      <c r="G12" s="2" t="s">
        <v>369</v>
      </c>
      <c r="H12" s="2" t="s">
        <v>332</v>
      </c>
    </row>
    <row r="13" spans="1:8" ht="30" customHeight="1">
      <c r="A13" s="2" t="s">
        <v>370</v>
      </c>
      <c r="B13" s="2" t="s">
        <v>364</v>
      </c>
      <c r="C13" s="2" t="s">
        <v>371</v>
      </c>
      <c r="D13" s="9">
        <v>4</v>
      </c>
      <c r="E13" s="9">
        <f>COUNTIF(Proyectos_TI!I2:I21,"Alto")</f>
        <v>5</v>
      </c>
      <c r="F13" s="2" t="str">
        <f>IF(E13&lt;=D13,"Verde",IF(E13&lt;=D13*1.2,"Amarillo","Rojo"))</f>
        <v>Rojo</v>
      </c>
      <c r="G13" s="2" t="s">
        <v>372</v>
      </c>
      <c r="H13" s="2" t="s">
        <v>347</v>
      </c>
    </row>
    <row r="14" spans="1:8" ht="30" customHeight="1">
      <c r="A14" s="2" t="s">
        <v>373</v>
      </c>
      <c r="B14" s="2" t="s">
        <v>294</v>
      </c>
      <c r="C14" s="2" t="s">
        <v>374</v>
      </c>
      <c r="D14" s="4">
        <v>0.85</v>
      </c>
      <c r="E14" s="4">
        <f>(AVERAGE(Resumen_Gobierno_TI!E2:E13)+AVERAGE(Resumen_Gobierno_TI!F2:F13)+AVERAGE(Resumen_Gobierno_TI!G2:G13)+(AVERAGE(Resumen_Gobierno_TI!D2:D13)/5))/4</f>
        <v>0.79102083333333328</v>
      </c>
      <c r="F14" s="2" t="str">
        <f>IF(E14&gt;=D14,"Verde",IF(E14&gt;=D14*0.9,"Amarillo","Rojo"))</f>
        <v>Amarillo</v>
      </c>
      <c r="G14" s="2" t="s">
        <v>375</v>
      </c>
      <c r="H14" s="2" t="s">
        <v>332</v>
      </c>
    </row>
  </sheetData>
  <conditionalFormatting sqref="F2:F14">
    <cfRule type="expression" dxfId="2" priority="1">
      <formula>OR(F2="Óptimo",F2="Cumple",F2="Cerrado",F2="Completado",F2="Verde")</formula>
    </cfRule>
    <cfRule type="expression" dxfId="1" priority="2">
      <formula>OR(F2="Controlado",F2="En seguimiento",F2="En ejecución",F2="Amarillo")</formula>
    </cfRule>
    <cfRule type="expression" dxfId="0" priority="3">
      <formula>OR(F2="Requiere atención",F2="No cumple",F2="Abierto",F2="Atrasado",F2="Rojo")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8"/>
  <sheetViews>
    <sheetView workbookViewId="0"/>
  </sheetViews>
  <sheetFormatPr baseColWidth="10" defaultColWidth="9" defaultRowHeight="14.25"/>
  <cols>
    <col min="1" max="1" width="27" customWidth="1"/>
    <col min="2" max="2" width="34" customWidth="1"/>
    <col min="3" max="3" width="52" customWidth="1"/>
    <col min="4" max="4" width="20" customWidth="1"/>
    <col min="5" max="5" width="52" customWidth="1"/>
    <col min="6" max="6" width="28" customWidth="1"/>
  </cols>
  <sheetData>
    <row r="1" spans="1:6" ht="33.950000000000003" customHeight="1">
      <c r="A1" s="1" t="s">
        <v>376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381</v>
      </c>
    </row>
    <row r="2" spans="1:6" ht="30" customHeight="1">
      <c r="A2" s="2" t="s">
        <v>382</v>
      </c>
      <c r="B2" s="2" t="s">
        <v>0</v>
      </c>
      <c r="C2" s="2" t="s">
        <v>383</v>
      </c>
      <c r="D2" s="2" t="s">
        <v>384</v>
      </c>
      <c r="E2" s="2" t="s">
        <v>385</v>
      </c>
      <c r="F2" s="2" t="s">
        <v>8</v>
      </c>
    </row>
    <row r="3" spans="1:6" ht="30" customHeight="1">
      <c r="A3" s="2" t="s">
        <v>382</v>
      </c>
      <c r="B3" s="2" t="s">
        <v>1</v>
      </c>
      <c r="C3" s="2" t="s">
        <v>386</v>
      </c>
      <c r="D3" s="2" t="s">
        <v>387</v>
      </c>
      <c r="E3" s="2" t="s">
        <v>388</v>
      </c>
      <c r="F3" s="2" t="s">
        <v>389</v>
      </c>
    </row>
    <row r="4" spans="1:6" ht="30" customHeight="1">
      <c r="A4" s="2" t="s">
        <v>382</v>
      </c>
      <c r="B4" s="2" t="s">
        <v>2</v>
      </c>
      <c r="C4" s="2" t="s">
        <v>390</v>
      </c>
      <c r="D4" s="2" t="s">
        <v>384</v>
      </c>
      <c r="E4" s="2" t="s">
        <v>391</v>
      </c>
      <c r="F4" s="2" t="s">
        <v>9</v>
      </c>
    </row>
    <row r="5" spans="1:6" ht="30" customHeight="1">
      <c r="A5" s="2" t="s">
        <v>382</v>
      </c>
      <c r="B5" s="2" t="s">
        <v>3</v>
      </c>
      <c r="C5" s="2" t="s">
        <v>392</v>
      </c>
      <c r="D5" s="2" t="s">
        <v>393</v>
      </c>
      <c r="E5" s="2" t="s">
        <v>394</v>
      </c>
      <c r="F5" s="2" t="s">
        <v>395</v>
      </c>
    </row>
    <row r="6" spans="1:6" ht="30" customHeight="1">
      <c r="A6" s="2" t="s">
        <v>382</v>
      </c>
      <c r="B6" s="2" t="s">
        <v>4</v>
      </c>
      <c r="C6" s="2" t="s">
        <v>396</v>
      </c>
      <c r="D6" s="2" t="s">
        <v>397</v>
      </c>
      <c r="E6" s="2" t="s">
        <v>398</v>
      </c>
      <c r="F6" s="2" t="s">
        <v>399</v>
      </c>
    </row>
    <row r="7" spans="1:6" ht="30" customHeight="1">
      <c r="A7" s="2" t="s">
        <v>382</v>
      </c>
      <c r="B7" s="2" t="s">
        <v>5</v>
      </c>
      <c r="C7" s="2" t="s">
        <v>400</v>
      </c>
      <c r="D7" s="2" t="s">
        <v>397</v>
      </c>
      <c r="E7" s="2" t="s">
        <v>401</v>
      </c>
      <c r="F7" s="2" t="s">
        <v>402</v>
      </c>
    </row>
    <row r="8" spans="1:6" ht="30" customHeight="1">
      <c r="A8" s="2" t="s">
        <v>382</v>
      </c>
      <c r="B8" s="2" t="s">
        <v>6</v>
      </c>
      <c r="C8" s="2" t="s">
        <v>403</v>
      </c>
      <c r="D8" s="2" t="s">
        <v>397</v>
      </c>
      <c r="E8" s="2" t="s">
        <v>404</v>
      </c>
      <c r="F8" s="2" t="s">
        <v>405</v>
      </c>
    </row>
    <row r="9" spans="1:6" ht="30" customHeight="1">
      <c r="A9" s="2" t="s">
        <v>382</v>
      </c>
      <c r="B9" s="2" t="s">
        <v>7</v>
      </c>
      <c r="C9" s="2" t="s">
        <v>406</v>
      </c>
      <c r="D9" s="2" t="s">
        <v>407</v>
      </c>
      <c r="E9" s="2" t="s">
        <v>408</v>
      </c>
      <c r="F9" s="2" t="s">
        <v>409</v>
      </c>
    </row>
    <row r="10" spans="1:6" ht="30" customHeight="1">
      <c r="A10" s="2" t="s">
        <v>410</v>
      </c>
      <c r="B10" s="2" t="s">
        <v>21</v>
      </c>
      <c r="C10" s="2" t="s">
        <v>411</v>
      </c>
      <c r="D10" s="2" t="s">
        <v>384</v>
      </c>
      <c r="E10" s="2" t="s">
        <v>412</v>
      </c>
      <c r="F10" s="2" t="s">
        <v>31</v>
      </c>
    </row>
    <row r="11" spans="1:6" ht="30" customHeight="1">
      <c r="A11" s="2" t="s">
        <v>410</v>
      </c>
      <c r="B11" s="2" t="s">
        <v>22</v>
      </c>
      <c r="C11" s="2" t="s">
        <v>413</v>
      </c>
      <c r="D11" s="2" t="s">
        <v>384</v>
      </c>
      <c r="E11" s="2" t="s">
        <v>414</v>
      </c>
      <c r="F11" s="2" t="s">
        <v>36</v>
      </c>
    </row>
    <row r="12" spans="1:6" ht="30" customHeight="1">
      <c r="A12" s="2" t="s">
        <v>410</v>
      </c>
      <c r="B12" s="2" t="s">
        <v>23</v>
      </c>
      <c r="C12" s="2" t="s">
        <v>415</v>
      </c>
      <c r="D12" s="2" t="s">
        <v>384</v>
      </c>
      <c r="E12" s="2" t="s">
        <v>416</v>
      </c>
      <c r="F12" s="2" t="s">
        <v>417</v>
      </c>
    </row>
    <row r="13" spans="1:6" ht="30" customHeight="1">
      <c r="A13" s="2" t="s">
        <v>410</v>
      </c>
      <c r="B13" s="2" t="s">
        <v>24</v>
      </c>
      <c r="C13" s="2" t="s">
        <v>418</v>
      </c>
      <c r="D13" s="2" t="s">
        <v>387</v>
      </c>
      <c r="E13" s="2" t="s">
        <v>419</v>
      </c>
      <c r="F13" s="2" t="s">
        <v>420</v>
      </c>
    </row>
    <row r="14" spans="1:6" ht="30" customHeight="1">
      <c r="A14" s="2" t="s">
        <v>410</v>
      </c>
      <c r="B14" s="2" t="s">
        <v>25</v>
      </c>
      <c r="C14" s="2" t="s">
        <v>421</v>
      </c>
      <c r="D14" s="2" t="s">
        <v>387</v>
      </c>
      <c r="E14" s="2" t="s">
        <v>419</v>
      </c>
      <c r="F14" s="2" t="s">
        <v>422</v>
      </c>
    </row>
    <row r="15" spans="1:6" ht="30" customHeight="1">
      <c r="A15" s="2" t="s">
        <v>410</v>
      </c>
      <c r="B15" s="2" t="s">
        <v>26</v>
      </c>
      <c r="C15" s="2" t="s">
        <v>423</v>
      </c>
      <c r="D15" s="2" t="s">
        <v>407</v>
      </c>
      <c r="E15" s="2" t="s">
        <v>424</v>
      </c>
      <c r="F15" s="2" t="s">
        <v>425</v>
      </c>
    </row>
    <row r="16" spans="1:6" ht="30" customHeight="1">
      <c r="A16" s="2" t="s">
        <v>410</v>
      </c>
      <c r="B16" s="2" t="s">
        <v>2</v>
      </c>
      <c r="C16" s="2" t="s">
        <v>426</v>
      </c>
      <c r="D16" s="2" t="s">
        <v>384</v>
      </c>
      <c r="E16" s="2" t="s">
        <v>427</v>
      </c>
      <c r="F16" s="2" t="s">
        <v>38</v>
      </c>
    </row>
    <row r="17" spans="1:6" ht="30" customHeight="1">
      <c r="A17" s="2" t="s">
        <v>410</v>
      </c>
      <c r="B17" s="2" t="s">
        <v>27</v>
      </c>
      <c r="C17" s="2" t="s">
        <v>428</v>
      </c>
      <c r="D17" s="2" t="s">
        <v>384</v>
      </c>
      <c r="E17" s="2" t="s">
        <v>429</v>
      </c>
      <c r="F17" s="2" t="s">
        <v>34</v>
      </c>
    </row>
    <row r="18" spans="1:6" ht="30" customHeight="1">
      <c r="A18" s="2" t="s">
        <v>410</v>
      </c>
      <c r="B18" s="2" t="s">
        <v>28</v>
      </c>
      <c r="C18" s="2" t="s">
        <v>430</v>
      </c>
      <c r="D18" s="2" t="s">
        <v>97</v>
      </c>
      <c r="E18" s="2" t="s">
        <v>431</v>
      </c>
      <c r="F18" s="2" t="s">
        <v>432</v>
      </c>
    </row>
    <row r="19" spans="1:6" ht="30" customHeight="1">
      <c r="A19" s="2" t="s">
        <v>410</v>
      </c>
      <c r="B19" s="2" t="s">
        <v>29</v>
      </c>
      <c r="C19" s="2" t="s">
        <v>433</v>
      </c>
      <c r="D19" s="2" t="s">
        <v>97</v>
      </c>
      <c r="E19" s="2" t="s">
        <v>434</v>
      </c>
      <c r="F19" s="2" t="s">
        <v>435</v>
      </c>
    </row>
    <row r="20" spans="1:6" ht="30" customHeight="1">
      <c r="A20" s="2" t="s">
        <v>410</v>
      </c>
      <c r="B20" s="2" t="s">
        <v>30</v>
      </c>
      <c r="C20" s="2" t="s">
        <v>436</v>
      </c>
      <c r="D20" s="2" t="s">
        <v>437</v>
      </c>
      <c r="E20" s="2" t="s">
        <v>438</v>
      </c>
      <c r="F20" s="2" t="s">
        <v>439</v>
      </c>
    </row>
    <row r="21" spans="1:6" ht="30" customHeight="1">
      <c r="A21" s="2" t="s">
        <v>440</v>
      </c>
      <c r="B21" s="2" t="s">
        <v>96</v>
      </c>
      <c r="C21" s="2" t="s">
        <v>441</v>
      </c>
      <c r="D21" s="2" t="s">
        <v>384</v>
      </c>
      <c r="E21" s="2" t="s">
        <v>442</v>
      </c>
      <c r="F21" s="2" t="s">
        <v>105</v>
      </c>
    </row>
    <row r="22" spans="1:6" ht="30" customHeight="1">
      <c r="A22" s="2" t="s">
        <v>440</v>
      </c>
      <c r="B22" s="2" t="s">
        <v>97</v>
      </c>
      <c r="C22" s="2" t="s">
        <v>443</v>
      </c>
      <c r="D22" s="2" t="s">
        <v>97</v>
      </c>
      <c r="E22" s="2" t="s">
        <v>444</v>
      </c>
      <c r="F22" s="2" t="s">
        <v>445</v>
      </c>
    </row>
    <row r="23" spans="1:6" ht="30" customHeight="1">
      <c r="A23" s="2" t="s">
        <v>440</v>
      </c>
      <c r="B23" s="2" t="s">
        <v>98</v>
      </c>
      <c r="C23" s="2" t="s">
        <v>446</v>
      </c>
      <c r="D23" s="2" t="s">
        <v>384</v>
      </c>
      <c r="E23" s="2" t="s">
        <v>447</v>
      </c>
      <c r="F23" s="2" t="s">
        <v>122</v>
      </c>
    </row>
    <row r="24" spans="1:6" ht="30" customHeight="1">
      <c r="A24" s="2" t="s">
        <v>440</v>
      </c>
      <c r="B24" s="2" t="s">
        <v>99</v>
      </c>
      <c r="C24" s="2" t="s">
        <v>448</v>
      </c>
      <c r="D24" s="2" t="s">
        <v>384</v>
      </c>
      <c r="E24" s="2" t="s">
        <v>449</v>
      </c>
      <c r="F24" s="2" t="s">
        <v>107</v>
      </c>
    </row>
    <row r="25" spans="1:6" ht="30" customHeight="1">
      <c r="A25" s="2" t="s">
        <v>440</v>
      </c>
      <c r="B25" s="2" t="s">
        <v>100</v>
      </c>
      <c r="C25" s="2" t="s">
        <v>450</v>
      </c>
      <c r="D25" s="2" t="s">
        <v>384</v>
      </c>
      <c r="E25" s="2" t="s">
        <v>451</v>
      </c>
      <c r="F25" s="2" t="s">
        <v>123</v>
      </c>
    </row>
    <row r="26" spans="1:6" ht="30" customHeight="1">
      <c r="A26" s="2" t="s">
        <v>440</v>
      </c>
      <c r="B26" s="2" t="s">
        <v>101</v>
      </c>
      <c r="C26" s="2" t="s">
        <v>452</v>
      </c>
      <c r="D26" s="2" t="s">
        <v>393</v>
      </c>
      <c r="E26" s="2" t="s">
        <v>453</v>
      </c>
      <c r="F26" s="2" t="s">
        <v>454</v>
      </c>
    </row>
    <row r="27" spans="1:6" ht="30" customHeight="1">
      <c r="A27" s="2" t="s">
        <v>440</v>
      </c>
      <c r="B27" s="2" t="s">
        <v>102</v>
      </c>
      <c r="C27" s="2" t="s">
        <v>455</v>
      </c>
      <c r="D27" s="2" t="s">
        <v>384</v>
      </c>
      <c r="E27" s="2" t="s">
        <v>456</v>
      </c>
      <c r="F27" s="2" t="s">
        <v>124</v>
      </c>
    </row>
    <row r="28" spans="1:6" ht="30" customHeight="1">
      <c r="A28" s="2" t="s">
        <v>440</v>
      </c>
      <c r="B28" s="2" t="s">
        <v>2</v>
      </c>
      <c r="C28" s="2" t="s">
        <v>457</v>
      </c>
      <c r="D28" s="2" t="s">
        <v>384</v>
      </c>
      <c r="E28" s="2" t="s">
        <v>458</v>
      </c>
      <c r="F28" s="2" t="s">
        <v>459</v>
      </c>
    </row>
    <row r="29" spans="1:6" ht="30" customHeight="1">
      <c r="A29" s="2" t="s">
        <v>440</v>
      </c>
      <c r="B29" s="2" t="s">
        <v>103</v>
      </c>
      <c r="C29" s="2" t="s">
        <v>460</v>
      </c>
      <c r="D29" s="2" t="s">
        <v>384</v>
      </c>
      <c r="E29" s="2" t="s">
        <v>461</v>
      </c>
      <c r="F29" s="2" t="s">
        <v>109</v>
      </c>
    </row>
    <row r="30" spans="1:6" ht="30" customHeight="1">
      <c r="A30" s="2" t="s">
        <v>440</v>
      </c>
      <c r="B30" s="2" t="s">
        <v>104</v>
      </c>
      <c r="C30" s="2" t="s">
        <v>462</v>
      </c>
      <c r="D30" s="2" t="s">
        <v>384</v>
      </c>
      <c r="E30" s="2" t="s">
        <v>463</v>
      </c>
      <c r="F30" s="2" t="s">
        <v>116</v>
      </c>
    </row>
    <row r="31" spans="1:6" ht="30" customHeight="1">
      <c r="A31" s="2" t="s">
        <v>464</v>
      </c>
      <c r="B31" s="2" t="s">
        <v>207</v>
      </c>
      <c r="C31" s="2" t="s">
        <v>465</v>
      </c>
      <c r="D31" s="2" t="s">
        <v>384</v>
      </c>
      <c r="E31" s="2" t="s">
        <v>466</v>
      </c>
      <c r="F31" s="2" t="s">
        <v>217</v>
      </c>
    </row>
    <row r="32" spans="1:6" ht="30" customHeight="1">
      <c r="A32" s="2" t="s">
        <v>464</v>
      </c>
      <c r="B32" s="2" t="s">
        <v>208</v>
      </c>
      <c r="C32" s="2" t="s">
        <v>467</v>
      </c>
      <c r="D32" s="2" t="s">
        <v>97</v>
      </c>
      <c r="E32" s="2" t="s">
        <v>468</v>
      </c>
      <c r="F32" s="2" t="s">
        <v>469</v>
      </c>
    </row>
    <row r="33" spans="1:6" ht="30" customHeight="1">
      <c r="A33" s="2" t="s">
        <v>464</v>
      </c>
      <c r="B33" s="2" t="s">
        <v>209</v>
      </c>
      <c r="C33" s="2" t="s">
        <v>470</v>
      </c>
      <c r="D33" s="2" t="s">
        <v>384</v>
      </c>
      <c r="E33" s="2" t="s">
        <v>471</v>
      </c>
      <c r="F33" s="2" t="s">
        <v>222</v>
      </c>
    </row>
    <row r="34" spans="1:6" ht="30" customHeight="1">
      <c r="A34" s="2" t="s">
        <v>464</v>
      </c>
      <c r="B34" s="2" t="s">
        <v>210</v>
      </c>
      <c r="C34" s="2" t="s">
        <v>472</v>
      </c>
      <c r="D34" s="2" t="s">
        <v>387</v>
      </c>
      <c r="E34" s="2" t="s">
        <v>473</v>
      </c>
      <c r="F34" s="2" t="s">
        <v>474</v>
      </c>
    </row>
    <row r="35" spans="1:6" ht="30" customHeight="1">
      <c r="A35" s="2" t="s">
        <v>464</v>
      </c>
      <c r="B35" s="2" t="s">
        <v>211</v>
      </c>
      <c r="C35" s="2" t="s">
        <v>475</v>
      </c>
      <c r="D35" s="2" t="s">
        <v>387</v>
      </c>
      <c r="E35" s="2" t="s">
        <v>476</v>
      </c>
      <c r="F35" s="2" t="s">
        <v>420</v>
      </c>
    </row>
    <row r="36" spans="1:6" ht="30" customHeight="1">
      <c r="A36" s="2" t="s">
        <v>464</v>
      </c>
      <c r="B36" s="2" t="s">
        <v>212</v>
      </c>
      <c r="C36" s="2" t="s">
        <v>477</v>
      </c>
      <c r="D36" s="2" t="s">
        <v>387</v>
      </c>
      <c r="E36" s="2" t="s">
        <v>478</v>
      </c>
      <c r="F36" s="2" t="s">
        <v>479</v>
      </c>
    </row>
    <row r="37" spans="1:6" ht="30" customHeight="1">
      <c r="A37" s="2" t="s">
        <v>464</v>
      </c>
      <c r="B37" s="2" t="s">
        <v>213</v>
      </c>
      <c r="C37" s="2" t="s">
        <v>480</v>
      </c>
      <c r="D37" s="2" t="s">
        <v>481</v>
      </c>
      <c r="E37" s="2" t="s">
        <v>482</v>
      </c>
      <c r="F37" s="2" t="s">
        <v>483</v>
      </c>
    </row>
    <row r="38" spans="1:6" ht="30" customHeight="1">
      <c r="A38" s="2" t="s">
        <v>464</v>
      </c>
      <c r="B38" s="2" t="s">
        <v>214</v>
      </c>
      <c r="C38" s="2" t="s">
        <v>484</v>
      </c>
      <c r="D38" s="2" t="s">
        <v>384</v>
      </c>
      <c r="E38" s="2" t="s">
        <v>485</v>
      </c>
      <c r="F38" s="2" t="s">
        <v>219</v>
      </c>
    </row>
    <row r="39" spans="1:6" ht="30" customHeight="1">
      <c r="A39" s="2" t="s">
        <v>464</v>
      </c>
      <c r="B39" s="2" t="s">
        <v>215</v>
      </c>
      <c r="C39" s="2" t="s">
        <v>486</v>
      </c>
      <c r="D39" s="2" t="s">
        <v>384</v>
      </c>
      <c r="E39" s="2" t="s">
        <v>487</v>
      </c>
      <c r="F39" s="2" t="s">
        <v>220</v>
      </c>
    </row>
    <row r="40" spans="1:6" ht="30" customHeight="1">
      <c r="A40" s="2" t="s">
        <v>464</v>
      </c>
      <c r="B40" s="2" t="s">
        <v>216</v>
      </c>
      <c r="C40" s="2" t="s">
        <v>488</v>
      </c>
      <c r="D40" s="2" t="s">
        <v>97</v>
      </c>
      <c r="E40" s="2" t="s">
        <v>489</v>
      </c>
      <c r="F40" s="2" t="s">
        <v>490</v>
      </c>
    </row>
    <row r="41" spans="1:6" ht="30" customHeight="1">
      <c r="A41" s="2" t="s">
        <v>491</v>
      </c>
      <c r="B41" s="2" t="s">
        <v>0</v>
      </c>
      <c r="C41" s="2" t="s">
        <v>492</v>
      </c>
      <c r="D41" s="2" t="s">
        <v>384</v>
      </c>
      <c r="E41" s="2" t="s">
        <v>493</v>
      </c>
      <c r="F41" s="2" t="s">
        <v>11</v>
      </c>
    </row>
    <row r="42" spans="1:6" ht="30" customHeight="1">
      <c r="A42" s="2" t="s">
        <v>491</v>
      </c>
      <c r="B42" s="2" t="s">
        <v>249</v>
      </c>
      <c r="C42" s="2" t="s">
        <v>494</v>
      </c>
      <c r="D42" s="2" t="s">
        <v>384</v>
      </c>
      <c r="E42" s="2" t="s">
        <v>495</v>
      </c>
      <c r="F42" s="2" t="s">
        <v>133</v>
      </c>
    </row>
    <row r="43" spans="1:6" ht="30" customHeight="1">
      <c r="A43" s="2" t="s">
        <v>491</v>
      </c>
      <c r="B43" s="2" t="s">
        <v>250</v>
      </c>
      <c r="C43" s="2" t="s">
        <v>496</v>
      </c>
      <c r="D43" s="2" t="s">
        <v>387</v>
      </c>
      <c r="E43" s="2" t="s">
        <v>497</v>
      </c>
      <c r="F43" s="2" t="s">
        <v>498</v>
      </c>
    </row>
    <row r="44" spans="1:6" ht="30" customHeight="1">
      <c r="A44" s="2" t="s">
        <v>491</v>
      </c>
      <c r="B44" s="2" t="s">
        <v>251</v>
      </c>
      <c r="C44" s="2" t="s">
        <v>499</v>
      </c>
      <c r="D44" s="2" t="s">
        <v>393</v>
      </c>
      <c r="E44" s="2" t="s">
        <v>500</v>
      </c>
      <c r="F44" s="2" t="s">
        <v>501</v>
      </c>
    </row>
    <row r="45" spans="1:6" ht="30" customHeight="1">
      <c r="A45" s="2" t="s">
        <v>491</v>
      </c>
      <c r="B45" s="2" t="s">
        <v>252</v>
      </c>
      <c r="C45" s="2" t="s">
        <v>502</v>
      </c>
      <c r="D45" s="2" t="s">
        <v>481</v>
      </c>
      <c r="E45" s="2" t="s">
        <v>503</v>
      </c>
      <c r="F45" s="2" t="s">
        <v>504</v>
      </c>
    </row>
    <row r="46" spans="1:6" ht="30" customHeight="1">
      <c r="A46" s="2" t="s">
        <v>491</v>
      </c>
      <c r="B46" s="2" t="s">
        <v>253</v>
      </c>
      <c r="C46" s="2" t="s">
        <v>505</v>
      </c>
      <c r="D46" s="2" t="s">
        <v>387</v>
      </c>
      <c r="E46" s="2" t="s">
        <v>506</v>
      </c>
      <c r="F46" s="2" t="s">
        <v>507</v>
      </c>
    </row>
    <row r="47" spans="1:6" ht="30" customHeight="1">
      <c r="A47" s="2" t="s">
        <v>491</v>
      </c>
      <c r="B47" s="2" t="s">
        <v>254</v>
      </c>
      <c r="C47" s="2" t="s">
        <v>508</v>
      </c>
      <c r="D47" s="2" t="s">
        <v>397</v>
      </c>
      <c r="E47" s="2" t="s">
        <v>509</v>
      </c>
      <c r="F47" s="2" t="s">
        <v>510</v>
      </c>
    </row>
    <row r="48" spans="1:6" ht="30" customHeight="1">
      <c r="A48" s="2" t="s">
        <v>491</v>
      </c>
      <c r="B48" s="2" t="s">
        <v>255</v>
      </c>
      <c r="C48" s="2" t="s">
        <v>511</v>
      </c>
      <c r="D48" s="2" t="s">
        <v>407</v>
      </c>
      <c r="E48" s="2" t="s">
        <v>512</v>
      </c>
      <c r="F48" s="2" t="s">
        <v>513</v>
      </c>
    </row>
    <row r="49" spans="1:6" ht="30" customHeight="1">
      <c r="A49" s="2" t="s">
        <v>514</v>
      </c>
      <c r="B49" s="2" t="s">
        <v>256</v>
      </c>
      <c r="C49" s="2" t="s">
        <v>515</v>
      </c>
      <c r="D49" s="2" t="s">
        <v>384</v>
      </c>
      <c r="E49" s="2" t="s">
        <v>516</v>
      </c>
      <c r="F49" s="2" t="s">
        <v>267</v>
      </c>
    </row>
    <row r="50" spans="1:6" ht="30" customHeight="1">
      <c r="A50" s="2" t="s">
        <v>514</v>
      </c>
      <c r="B50" s="2" t="s">
        <v>257</v>
      </c>
      <c r="C50" s="2" t="s">
        <v>517</v>
      </c>
      <c r="D50" s="2" t="s">
        <v>384</v>
      </c>
      <c r="E50" s="2" t="s">
        <v>518</v>
      </c>
      <c r="F50" s="2" t="s">
        <v>519</v>
      </c>
    </row>
    <row r="51" spans="1:6" ht="30" customHeight="1">
      <c r="A51" s="2" t="s">
        <v>514</v>
      </c>
      <c r="B51" s="2" t="s">
        <v>258</v>
      </c>
      <c r="C51" s="2" t="s">
        <v>520</v>
      </c>
      <c r="D51" s="2" t="s">
        <v>384</v>
      </c>
      <c r="E51" s="2" t="s">
        <v>521</v>
      </c>
      <c r="F51" s="2" t="s">
        <v>36</v>
      </c>
    </row>
    <row r="52" spans="1:6" ht="30" customHeight="1">
      <c r="A52" s="2" t="s">
        <v>514</v>
      </c>
      <c r="B52" s="2" t="s">
        <v>259</v>
      </c>
      <c r="C52" s="2" t="s">
        <v>522</v>
      </c>
      <c r="D52" s="2" t="s">
        <v>523</v>
      </c>
      <c r="E52" s="2" t="s">
        <v>524</v>
      </c>
      <c r="F52" s="2" t="s">
        <v>525</v>
      </c>
    </row>
    <row r="53" spans="1:6" ht="30" customHeight="1">
      <c r="A53" s="2" t="s">
        <v>514</v>
      </c>
      <c r="B53" s="2" t="s">
        <v>260</v>
      </c>
      <c r="C53" s="2" t="s">
        <v>526</v>
      </c>
      <c r="D53" s="2" t="s">
        <v>523</v>
      </c>
      <c r="E53" s="2" t="s">
        <v>527</v>
      </c>
      <c r="F53" s="2" t="s">
        <v>528</v>
      </c>
    </row>
    <row r="54" spans="1:6" ht="30" customHeight="1">
      <c r="A54" s="2" t="s">
        <v>514</v>
      </c>
      <c r="B54" s="2" t="s">
        <v>261</v>
      </c>
      <c r="C54" s="2" t="s">
        <v>529</v>
      </c>
      <c r="D54" s="2" t="s">
        <v>481</v>
      </c>
      <c r="E54" s="2" t="s">
        <v>530</v>
      </c>
      <c r="F54" s="2" t="s">
        <v>531</v>
      </c>
    </row>
    <row r="55" spans="1:6" ht="30" customHeight="1">
      <c r="A55" s="2" t="s">
        <v>514</v>
      </c>
      <c r="B55" s="2" t="s">
        <v>262</v>
      </c>
      <c r="C55" s="2" t="s">
        <v>532</v>
      </c>
      <c r="D55" s="2" t="s">
        <v>397</v>
      </c>
      <c r="E55" s="2" t="s">
        <v>533</v>
      </c>
      <c r="F55" s="2" t="s">
        <v>534</v>
      </c>
    </row>
    <row r="56" spans="1:6" ht="30" customHeight="1">
      <c r="A56" s="2" t="s">
        <v>514</v>
      </c>
      <c r="B56" s="2" t="s">
        <v>263</v>
      </c>
      <c r="C56" s="2" t="s">
        <v>535</v>
      </c>
      <c r="D56" s="2" t="s">
        <v>384</v>
      </c>
      <c r="E56" s="2" t="s">
        <v>536</v>
      </c>
      <c r="F56" s="2" t="s">
        <v>219</v>
      </c>
    </row>
    <row r="57" spans="1:6" ht="30" customHeight="1">
      <c r="A57" s="2" t="s">
        <v>514</v>
      </c>
      <c r="B57" s="2" t="s">
        <v>264</v>
      </c>
      <c r="C57" s="2" t="s">
        <v>537</v>
      </c>
      <c r="D57" s="2" t="s">
        <v>384</v>
      </c>
      <c r="E57" s="2" t="s">
        <v>538</v>
      </c>
      <c r="F57" s="2" t="s">
        <v>109</v>
      </c>
    </row>
    <row r="58" spans="1:6" ht="30" customHeight="1">
      <c r="A58" s="2" t="s">
        <v>514</v>
      </c>
      <c r="B58" s="2" t="s">
        <v>265</v>
      </c>
      <c r="C58" s="2" t="s">
        <v>539</v>
      </c>
      <c r="D58" s="2" t="s">
        <v>97</v>
      </c>
      <c r="E58" s="2" t="s">
        <v>540</v>
      </c>
      <c r="F58" s="2" t="s">
        <v>541</v>
      </c>
    </row>
    <row r="59" spans="1:6" ht="30" customHeight="1">
      <c r="A59" s="2" t="s">
        <v>514</v>
      </c>
      <c r="B59" s="2" t="s">
        <v>266</v>
      </c>
      <c r="C59" s="2" t="s">
        <v>542</v>
      </c>
      <c r="D59" s="2" t="s">
        <v>97</v>
      </c>
      <c r="E59" s="2" t="s">
        <v>543</v>
      </c>
      <c r="F59" s="2" t="s">
        <v>544</v>
      </c>
    </row>
    <row r="60" spans="1:6" ht="30" customHeight="1">
      <c r="A60" s="2" t="s">
        <v>514</v>
      </c>
      <c r="B60" s="2" t="s">
        <v>215</v>
      </c>
      <c r="C60" s="2" t="s">
        <v>545</v>
      </c>
      <c r="D60" s="2" t="s">
        <v>384</v>
      </c>
      <c r="E60" s="2" t="s">
        <v>487</v>
      </c>
      <c r="F60" s="2" t="s">
        <v>304</v>
      </c>
    </row>
    <row r="61" spans="1:6" ht="30" customHeight="1">
      <c r="A61" s="2" t="s">
        <v>546</v>
      </c>
      <c r="B61" s="2" t="s">
        <v>322</v>
      </c>
      <c r="C61" s="2" t="s">
        <v>547</v>
      </c>
      <c r="D61" s="2" t="s">
        <v>384</v>
      </c>
      <c r="E61" s="2" t="s">
        <v>548</v>
      </c>
      <c r="F61" s="2" t="s">
        <v>356</v>
      </c>
    </row>
    <row r="62" spans="1:6" ht="30" customHeight="1">
      <c r="A62" s="2" t="s">
        <v>546</v>
      </c>
      <c r="B62" s="2" t="s">
        <v>258</v>
      </c>
      <c r="C62" s="2" t="s">
        <v>549</v>
      </c>
      <c r="D62" s="2" t="s">
        <v>384</v>
      </c>
      <c r="E62" s="2" t="s">
        <v>550</v>
      </c>
      <c r="F62" s="2" t="s">
        <v>353</v>
      </c>
    </row>
    <row r="63" spans="1:6" ht="30" customHeight="1">
      <c r="A63" s="2" t="s">
        <v>546</v>
      </c>
      <c r="B63" s="2" t="s">
        <v>323</v>
      </c>
      <c r="C63" s="2" t="s">
        <v>551</v>
      </c>
      <c r="D63" s="2" t="s">
        <v>384</v>
      </c>
      <c r="E63" s="2" t="s">
        <v>552</v>
      </c>
      <c r="F63" s="2" t="s">
        <v>553</v>
      </c>
    </row>
    <row r="64" spans="1:6" ht="30" customHeight="1">
      <c r="A64" s="2" t="s">
        <v>546</v>
      </c>
      <c r="B64" s="2" t="s">
        <v>324</v>
      </c>
      <c r="C64" s="2" t="s">
        <v>554</v>
      </c>
      <c r="D64" s="2" t="s">
        <v>555</v>
      </c>
      <c r="E64" s="2" t="s">
        <v>556</v>
      </c>
      <c r="F64" s="2" t="s">
        <v>557</v>
      </c>
    </row>
    <row r="65" spans="1:6" ht="30" customHeight="1">
      <c r="A65" s="2" t="s">
        <v>546</v>
      </c>
      <c r="B65" s="2" t="s">
        <v>325</v>
      </c>
      <c r="C65" s="2" t="s">
        <v>558</v>
      </c>
      <c r="D65" s="2" t="s">
        <v>559</v>
      </c>
      <c r="E65" s="2" t="s">
        <v>560</v>
      </c>
      <c r="F65" s="2" t="s">
        <v>561</v>
      </c>
    </row>
    <row r="66" spans="1:6" ht="30" customHeight="1">
      <c r="A66" s="2" t="s">
        <v>546</v>
      </c>
      <c r="B66" s="2" t="s">
        <v>326</v>
      </c>
      <c r="C66" s="2" t="s">
        <v>562</v>
      </c>
      <c r="D66" s="2" t="s">
        <v>407</v>
      </c>
      <c r="E66" s="2" t="s">
        <v>563</v>
      </c>
      <c r="F66" s="2" t="s">
        <v>564</v>
      </c>
    </row>
    <row r="67" spans="1:6" ht="30" customHeight="1">
      <c r="A67" s="2" t="s">
        <v>546</v>
      </c>
      <c r="B67" s="2" t="s">
        <v>327</v>
      </c>
      <c r="C67" s="2" t="s">
        <v>565</v>
      </c>
      <c r="D67" s="2" t="s">
        <v>384</v>
      </c>
      <c r="E67" s="2" t="s">
        <v>566</v>
      </c>
      <c r="F67" s="2" t="s">
        <v>567</v>
      </c>
    </row>
    <row r="68" spans="1:6" ht="30" customHeight="1">
      <c r="A68" s="2" t="s">
        <v>546</v>
      </c>
      <c r="B68" s="2" t="s">
        <v>328</v>
      </c>
      <c r="C68" s="2" t="s">
        <v>568</v>
      </c>
      <c r="D68" s="2" t="s">
        <v>384</v>
      </c>
      <c r="E68" s="2" t="s">
        <v>569</v>
      </c>
      <c r="F68" s="2" t="s">
        <v>332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1"/>
  <sheetViews>
    <sheetView workbookViewId="0"/>
  </sheetViews>
  <sheetFormatPr baseColWidth="10" defaultColWidth="9" defaultRowHeight="14.25"/>
  <cols>
    <col min="1" max="1" width="22" customWidth="1"/>
    <col min="2" max="2" width="44" customWidth="1"/>
    <col min="3" max="3" width="30" customWidth="1"/>
    <col min="4" max="5" width="28" customWidth="1"/>
    <col min="6" max="6" width="48" customWidth="1"/>
  </cols>
  <sheetData>
    <row r="1" spans="1:6" ht="33.950000000000003" customHeight="1">
      <c r="A1" s="1" t="s">
        <v>570</v>
      </c>
      <c r="B1" s="1" t="s">
        <v>571</v>
      </c>
      <c r="C1" s="1" t="s">
        <v>572</v>
      </c>
      <c r="D1" s="1" t="s">
        <v>573</v>
      </c>
      <c r="E1" s="1" t="s">
        <v>574</v>
      </c>
      <c r="F1" s="1" t="s">
        <v>575</v>
      </c>
    </row>
    <row r="2" spans="1:6" ht="30" customHeight="1">
      <c r="A2" s="2" t="s">
        <v>576</v>
      </c>
      <c r="B2" s="2" t="s">
        <v>577</v>
      </c>
      <c r="C2" s="2" t="s">
        <v>578</v>
      </c>
      <c r="D2" s="2" t="s">
        <v>382</v>
      </c>
      <c r="E2" s="2" t="s">
        <v>579</v>
      </c>
      <c r="F2" s="2" t="s">
        <v>580</v>
      </c>
    </row>
    <row r="3" spans="1:6" ht="30" customHeight="1">
      <c r="A3" s="2" t="s">
        <v>576</v>
      </c>
      <c r="B3" s="2" t="s">
        <v>581</v>
      </c>
      <c r="C3" s="2" t="s">
        <v>582</v>
      </c>
      <c r="D3" s="2" t="s">
        <v>546</v>
      </c>
      <c r="E3" s="2" t="s">
        <v>0</v>
      </c>
      <c r="F3" s="2" t="s">
        <v>583</v>
      </c>
    </row>
    <row r="4" spans="1:6" ht="30" customHeight="1">
      <c r="A4" s="2" t="s">
        <v>576</v>
      </c>
      <c r="B4" s="2" t="s">
        <v>584</v>
      </c>
      <c r="C4" s="2" t="s">
        <v>582</v>
      </c>
      <c r="D4" s="2" t="s">
        <v>546</v>
      </c>
      <c r="E4" s="2" t="s">
        <v>0</v>
      </c>
      <c r="F4" s="2" t="s">
        <v>585</v>
      </c>
    </row>
    <row r="5" spans="1:6" ht="30" customHeight="1">
      <c r="A5" s="2" t="s">
        <v>576</v>
      </c>
      <c r="B5" s="2" t="s">
        <v>586</v>
      </c>
      <c r="C5" s="2" t="s">
        <v>587</v>
      </c>
      <c r="D5" s="2" t="s">
        <v>410</v>
      </c>
      <c r="E5" s="2" t="s">
        <v>588</v>
      </c>
      <c r="F5" s="2" t="s">
        <v>589</v>
      </c>
    </row>
    <row r="6" spans="1:6" ht="30" customHeight="1">
      <c r="A6" s="2" t="s">
        <v>576</v>
      </c>
      <c r="B6" s="2" t="s">
        <v>590</v>
      </c>
      <c r="C6" s="2" t="s">
        <v>591</v>
      </c>
      <c r="D6" s="2" t="s">
        <v>440</v>
      </c>
      <c r="E6" s="2" t="s">
        <v>592</v>
      </c>
      <c r="F6" s="2" t="s">
        <v>593</v>
      </c>
    </row>
    <row r="7" spans="1:6" ht="30" customHeight="1">
      <c r="A7" s="2" t="s">
        <v>576</v>
      </c>
      <c r="B7" s="2" t="s">
        <v>594</v>
      </c>
      <c r="C7" s="2" t="s">
        <v>595</v>
      </c>
      <c r="D7" s="2" t="s">
        <v>491</v>
      </c>
      <c r="E7" s="2" t="s">
        <v>596</v>
      </c>
      <c r="F7" s="2" t="s">
        <v>597</v>
      </c>
    </row>
    <row r="8" spans="1:6" ht="30" customHeight="1">
      <c r="A8" s="2" t="s">
        <v>598</v>
      </c>
      <c r="B8" s="2" t="s">
        <v>599</v>
      </c>
      <c r="C8" s="2" t="s">
        <v>600</v>
      </c>
      <c r="D8" s="2" t="s">
        <v>382</v>
      </c>
      <c r="E8" s="2" t="s">
        <v>1</v>
      </c>
      <c r="F8" s="2" t="s">
        <v>601</v>
      </c>
    </row>
    <row r="9" spans="1:6" ht="30" customHeight="1">
      <c r="A9" s="2" t="s">
        <v>602</v>
      </c>
      <c r="B9" s="2" t="s">
        <v>603</v>
      </c>
      <c r="C9" s="2" t="s">
        <v>604</v>
      </c>
      <c r="D9" s="2" t="s">
        <v>410</v>
      </c>
      <c r="E9" s="2" t="s">
        <v>605</v>
      </c>
      <c r="F9" s="2" t="s">
        <v>606</v>
      </c>
    </row>
    <row r="10" spans="1:6" ht="30" customHeight="1">
      <c r="A10" s="2" t="s">
        <v>607</v>
      </c>
      <c r="B10" s="2" t="s">
        <v>608</v>
      </c>
      <c r="C10" s="2" t="s">
        <v>609</v>
      </c>
      <c r="D10" s="2" t="s">
        <v>440</v>
      </c>
      <c r="E10" s="2" t="s">
        <v>610</v>
      </c>
      <c r="F10" s="2" t="s">
        <v>611</v>
      </c>
    </row>
    <row r="11" spans="1:6" ht="30" customHeight="1">
      <c r="A11" s="2" t="s">
        <v>602</v>
      </c>
      <c r="B11" s="2" t="s">
        <v>612</v>
      </c>
      <c r="C11" s="2" t="s">
        <v>613</v>
      </c>
      <c r="D11" s="2" t="s">
        <v>440</v>
      </c>
      <c r="E11" s="2" t="s">
        <v>614</v>
      </c>
      <c r="F11" s="2" t="s">
        <v>615</v>
      </c>
    </row>
    <row r="12" spans="1:6" ht="30" customHeight="1">
      <c r="A12" s="2" t="s">
        <v>616</v>
      </c>
      <c r="B12" s="2" t="s">
        <v>617</v>
      </c>
      <c r="C12" s="2" t="s">
        <v>618</v>
      </c>
      <c r="D12" s="2" t="s">
        <v>491</v>
      </c>
      <c r="E12" s="2" t="s">
        <v>619</v>
      </c>
      <c r="F12" s="2" t="s">
        <v>620</v>
      </c>
    </row>
    <row r="13" spans="1:6" ht="30" customHeight="1">
      <c r="A13" s="2" t="s">
        <v>326</v>
      </c>
      <c r="B13" s="2" t="s">
        <v>621</v>
      </c>
      <c r="C13" s="2" t="s">
        <v>622</v>
      </c>
      <c r="D13" s="2" t="s">
        <v>491</v>
      </c>
      <c r="E13" s="2" t="s">
        <v>623</v>
      </c>
      <c r="F13" s="2" t="s">
        <v>624</v>
      </c>
    </row>
    <row r="14" spans="1:6" ht="30" customHeight="1">
      <c r="A14" s="2" t="s">
        <v>625</v>
      </c>
      <c r="B14" s="2" t="s">
        <v>626</v>
      </c>
      <c r="C14" s="2" t="s">
        <v>627</v>
      </c>
      <c r="D14" s="2" t="s">
        <v>514</v>
      </c>
      <c r="E14" s="2" t="s">
        <v>628</v>
      </c>
      <c r="F14" s="2" t="s">
        <v>629</v>
      </c>
    </row>
    <row r="15" spans="1:6" ht="30" customHeight="1">
      <c r="A15" s="2" t="s">
        <v>602</v>
      </c>
      <c r="B15" s="2" t="s">
        <v>630</v>
      </c>
      <c r="C15" s="2" t="s">
        <v>631</v>
      </c>
      <c r="D15" s="2" t="s">
        <v>464</v>
      </c>
      <c r="E15" s="2" t="s">
        <v>632</v>
      </c>
      <c r="F15" s="2" t="s">
        <v>633</v>
      </c>
    </row>
    <row r="16" spans="1:6" ht="30" customHeight="1">
      <c r="A16" s="2" t="s">
        <v>634</v>
      </c>
      <c r="B16" s="2" t="s">
        <v>635</v>
      </c>
      <c r="C16" s="2" t="s">
        <v>636</v>
      </c>
      <c r="D16" s="2" t="s">
        <v>464</v>
      </c>
      <c r="E16" s="2" t="s">
        <v>637</v>
      </c>
      <c r="F16" s="2" t="s">
        <v>638</v>
      </c>
    </row>
    <row r="17" spans="1:6" ht="30" customHeight="1">
      <c r="A17" s="2" t="s">
        <v>634</v>
      </c>
      <c r="B17" s="2" t="s">
        <v>639</v>
      </c>
      <c r="C17" s="2" t="s">
        <v>640</v>
      </c>
      <c r="D17" s="2" t="s">
        <v>410</v>
      </c>
      <c r="E17" s="2" t="s">
        <v>641</v>
      </c>
      <c r="F17" s="2" t="s">
        <v>642</v>
      </c>
    </row>
    <row r="18" spans="1:6" ht="30" customHeight="1">
      <c r="A18" s="2" t="s">
        <v>643</v>
      </c>
      <c r="B18" s="2" t="s">
        <v>644</v>
      </c>
      <c r="C18" s="2" t="s">
        <v>645</v>
      </c>
      <c r="D18" s="2" t="s">
        <v>646</v>
      </c>
      <c r="E18" s="2" t="s">
        <v>647</v>
      </c>
      <c r="F18" s="2" t="s">
        <v>648</v>
      </c>
    </row>
    <row r="19" spans="1:6" ht="30" customHeight="1">
      <c r="A19" s="2" t="s">
        <v>649</v>
      </c>
      <c r="B19" s="2" t="s">
        <v>650</v>
      </c>
      <c r="C19" s="2" t="s">
        <v>651</v>
      </c>
      <c r="D19" s="2" t="s">
        <v>546</v>
      </c>
      <c r="E19" s="2" t="s">
        <v>1</v>
      </c>
      <c r="F19" s="2" t="s">
        <v>652</v>
      </c>
    </row>
    <row r="20" spans="1:6" ht="30" customHeight="1">
      <c r="A20" s="2" t="s">
        <v>653</v>
      </c>
      <c r="B20" s="2" t="s">
        <v>654</v>
      </c>
      <c r="C20" s="2" t="s">
        <v>655</v>
      </c>
      <c r="D20" s="2" t="s">
        <v>546</v>
      </c>
      <c r="E20" s="2" t="s">
        <v>656</v>
      </c>
      <c r="F20" s="2" t="s">
        <v>657</v>
      </c>
    </row>
    <row r="21" spans="1:6" ht="30" customHeight="1">
      <c r="A21" s="2" t="s">
        <v>658</v>
      </c>
      <c r="B21" s="2" t="s">
        <v>659</v>
      </c>
      <c r="C21" s="2" t="s">
        <v>660</v>
      </c>
      <c r="D21" s="2" t="s">
        <v>646</v>
      </c>
      <c r="E21" s="2" t="s">
        <v>661</v>
      </c>
      <c r="F21" s="2" t="s">
        <v>662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5"/>
  <sheetViews>
    <sheetView workbookViewId="0"/>
  </sheetViews>
  <sheetFormatPr baseColWidth="10" defaultColWidth="9" defaultRowHeight="14.25"/>
  <cols>
    <col min="1" max="14" width="12" customWidth="1"/>
  </cols>
  <sheetData>
    <row r="1" spans="1:14" ht="27.95" customHeight="1">
      <c r="A1" s="13" t="s">
        <v>663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27.9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24" customHeight="1">
      <c r="A3" s="14" t="s">
        <v>664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ht="15">
      <c r="A5" s="15" t="s">
        <v>665</v>
      </c>
      <c r="B5" s="15"/>
      <c r="C5" s="15"/>
      <c r="D5" s="15" t="s">
        <v>666</v>
      </c>
      <c r="E5" s="15"/>
      <c r="F5" s="15"/>
      <c r="G5" s="15" t="s">
        <v>343</v>
      </c>
      <c r="H5" s="15"/>
      <c r="I5" s="15"/>
      <c r="J5" s="15" t="s">
        <v>667</v>
      </c>
      <c r="K5" s="15"/>
      <c r="L5" s="15"/>
      <c r="M5" s="10"/>
      <c r="N5" s="10"/>
    </row>
    <row r="6" spans="1:14">
      <c r="A6" s="16">
        <f>Indicadores_KPI!E2</f>
        <v>3.2774999999999999</v>
      </c>
      <c r="B6" s="16"/>
      <c r="C6" s="16"/>
      <c r="D6" s="17">
        <f>Indicadores_KPI!E3</f>
        <v>0.85158333333333325</v>
      </c>
      <c r="E6" s="17"/>
      <c r="F6" s="17"/>
      <c r="G6" s="18">
        <f>Indicadores_KPI!E6</f>
        <v>2</v>
      </c>
      <c r="H6" s="18"/>
      <c r="I6" s="18"/>
      <c r="J6" s="19">
        <f>Indicadores_KPI!E8</f>
        <v>0.99710074466988141</v>
      </c>
      <c r="K6" s="19"/>
      <c r="L6" s="19"/>
      <c r="M6" s="10"/>
      <c r="N6" s="10"/>
    </row>
    <row r="7" spans="1:14">
      <c r="A7" s="16"/>
      <c r="B7" s="16"/>
      <c r="C7" s="16"/>
      <c r="D7" s="17"/>
      <c r="E7" s="17"/>
      <c r="F7" s="17"/>
      <c r="G7" s="18"/>
      <c r="H7" s="18"/>
      <c r="I7" s="18"/>
      <c r="J7" s="19"/>
      <c r="K7" s="19"/>
      <c r="L7" s="19"/>
      <c r="M7" s="10"/>
      <c r="N7" s="10"/>
    </row>
    <row r="8" spans="1:14">
      <c r="A8" s="16"/>
      <c r="B8" s="16"/>
      <c r="C8" s="16"/>
      <c r="D8" s="17"/>
      <c r="E8" s="17"/>
      <c r="F8" s="17"/>
      <c r="G8" s="18"/>
      <c r="H8" s="18"/>
      <c r="I8" s="18"/>
      <c r="J8" s="19"/>
      <c r="K8" s="19"/>
      <c r="L8" s="19"/>
      <c r="M8" s="10"/>
      <c r="N8" s="10"/>
    </row>
    <row r="9" spans="1:14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ht="15">
      <c r="A10" s="15" t="s">
        <v>339</v>
      </c>
      <c r="B10" s="15"/>
      <c r="C10" s="15"/>
      <c r="D10" s="15" t="s">
        <v>668</v>
      </c>
      <c r="E10" s="15"/>
      <c r="F10" s="15"/>
      <c r="G10" s="15" t="s">
        <v>669</v>
      </c>
      <c r="H10" s="15"/>
      <c r="I10" s="15"/>
      <c r="J10" s="15" t="s">
        <v>670</v>
      </c>
      <c r="K10" s="15"/>
      <c r="L10" s="15"/>
      <c r="M10" s="10"/>
      <c r="N10" s="10"/>
    </row>
    <row r="11" spans="1:14">
      <c r="A11" s="17">
        <f>Indicadores_KPI!E5</f>
        <v>0.82766666666666655</v>
      </c>
      <c r="B11" s="17"/>
      <c r="C11" s="17"/>
      <c r="D11" s="20">
        <f>Indicadores_KPI!E7</f>
        <v>17.447142857142865</v>
      </c>
      <c r="E11" s="20"/>
      <c r="F11" s="20"/>
      <c r="G11" s="17">
        <f>Indicadores_KPI!E10</f>
        <v>0.27777777777777779</v>
      </c>
      <c r="H11" s="17"/>
      <c r="I11" s="17"/>
      <c r="J11" s="17">
        <f>Indicadores_KPI!E14</f>
        <v>0.79102083333333328</v>
      </c>
      <c r="K11" s="17"/>
      <c r="L11" s="17"/>
      <c r="M11" s="10"/>
      <c r="N11" s="10"/>
    </row>
    <row r="12" spans="1:14">
      <c r="A12" s="17"/>
      <c r="B12" s="17"/>
      <c r="C12" s="17"/>
      <c r="D12" s="20"/>
      <c r="E12" s="20"/>
      <c r="F12" s="20"/>
      <c r="G12" s="17"/>
      <c r="H12" s="17"/>
      <c r="I12" s="17"/>
      <c r="J12" s="17"/>
      <c r="K12" s="17"/>
      <c r="L12" s="17"/>
      <c r="M12" s="10"/>
      <c r="N12" s="10"/>
    </row>
    <row r="13" spans="1:14">
      <c r="A13" s="17"/>
      <c r="B13" s="17"/>
      <c r="C13" s="17"/>
      <c r="D13" s="20"/>
      <c r="E13" s="20"/>
      <c r="F13" s="20"/>
      <c r="G13" s="17"/>
      <c r="H13" s="17"/>
      <c r="I13" s="17"/>
      <c r="J13" s="17"/>
      <c r="K13" s="17"/>
      <c r="L13" s="17"/>
      <c r="M13" s="10"/>
      <c r="N13" s="10"/>
    </row>
    <row r="14" spans="1: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25.5">
      <c r="A16" s="1" t="s">
        <v>0</v>
      </c>
      <c r="B16" s="1" t="s">
        <v>671</v>
      </c>
      <c r="C16" s="1" t="s">
        <v>672</v>
      </c>
      <c r="D16" s="1" t="s">
        <v>336</v>
      </c>
      <c r="E16" s="1" t="s">
        <v>673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>
      <c r="A17" s="10" t="str">
        <f>Resumen_Gobierno_TI!A2</f>
        <v>Enero</v>
      </c>
      <c r="B17" s="11">
        <f>Resumen_Gobierno_TI!D2</f>
        <v>2.85</v>
      </c>
      <c r="C17" s="12">
        <f>Resumen_Gobierno_TI!E2</f>
        <v>0.78100000000000003</v>
      </c>
      <c r="D17" s="12">
        <f>Resumen_Gobierno_TI!F2</f>
        <v>0.752</v>
      </c>
      <c r="E17" s="12">
        <f>Resumen_Gobierno_TI!G2</f>
        <v>0.76800000000000002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>
      <c r="A18" s="10" t="str">
        <f>Resumen_Gobierno_TI!A3</f>
        <v>Febrero</v>
      </c>
      <c r="B18" s="11">
        <f>Resumen_Gobierno_TI!D3</f>
        <v>2.92</v>
      </c>
      <c r="C18" s="12">
        <f>Resumen_Gobierno_TI!E3</f>
        <v>0.79600000000000004</v>
      </c>
      <c r="D18" s="12">
        <f>Resumen_Gobierno_TI!F3</f>
        <v>0.76900000000000002</v>
      </c>
      <c r="E18" s="12">
        <f>Resumen_Gobierno_TI!G3</f>
        <v>0.77600000000000002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>
      <c r="A19" s="10" t="str">
        <f>Resumen_Gobierno_TI!A4</f>
        <v>Marzo</v>
      </c>
      <c r="B19" s="11">
        <f>Resumen_Gobierno_TI!D4</f>
        <v>3.02</v>
      </c>
      <c r="C19" s="12">
        <f>Resumen_Gobierno_TI!E4</f>
        <v>0.80400000000000005</v>
      </c>
      <c r="D19" s="12">
        <f>Resumen_Gobierno_TI!F4</f>
        <v>0.78100000000000003</v>
      </c>
      <c r="E19" s="12">
        <f>Resumen_Gobierno_TI!G4</f>
        <v>0.78900000000000003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>
      <c r="A20" s="10" t="str">
        <f>Resumen_Gobierno_TI!A5</f>
        <v>Abril</v>
      </c>
      <c r="B20" s="11">
        <f>Resumen_Gobierno_TI!D5</f>
        <v>3.08</v>
      </c>
      <c r="C20" s="12">
        <f>Resumen_Gobierno_TI!E5</f>
        <v>0.81599999999999995</v>
      </c>
      <c r="D20" s="12">
        <f>Resumen_Gobierno_TI!F5</f>
        <v>0.79300000000000004</v>
      </c>
      <c r="E20" s="12">
        <f>Resumen_Gobierno_TI!G5</f>
        <v>0.80100000000000005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>
      <c r="A21" s="10" t="str">
        <f>Resumen_Gobierno_TI!A6</f>
        <v>Mayo</v>
      </c>
      <c r="B21" s="11">
        <f>Resumen_Gobierno_TI!D6</f>
        <v>3.16</v>
      </c>
      <c r="C21" s="12">
        <f>Resumen_Gobierno_TI!E6</f>
        <v>0.83099999999999996</v>
      </c>
      <c r="D21" s="12">
        <f>Resumen_Gobierno_TI!F6</f>
        <v>0.80700000000000005</v>
      </c>
      <c r="E21" s="12">
        <f>Resumen_Gobierno_TI!G6</f>
        <v>0.81200000000000006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>
      <c r="A22" s="10" t="str">
        <f>Resumen_Gobierno_TI!A7</f>
        <v>Junio</v>
      </c>
      <c r="B22" s="11">
        <f>Resumen_Gobierno_TI!D7</f>
        <v>3.25</v>
      </c>
      <c r="C22" s="12">
        <f>Resumen_Gobierno_TI!E7</f>
        <v>0.84199999999999997</v>
      </c>
      <c r="D22" s="12">
        <f>Resumen_Gobierno_TI!F7</f>
        <v>0.82099999999999995</v>
      </c>
      <c r="E22" s="12">
        <f>Resumen_Gobierno_TI!G7</f>
        <v>0.82299999999999995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>
      <c r="A23" s="10" t="str">
        <f>Resumen_Gobierno_TI!A8</f>
        <v>Julio</v>
      </c>
      <c r="B23" s="11">
        <f>Resumen_Gobierno_TI!D8</f>
        <v>3.31</v>
      </c>
      <c r="C23" s="12">
        <f>Resumen_Gobierno_TI!E8</f>
        <v>0.85399999999999998</v>
      </c>
      <c r="D23" s="12">
        <f>Resumen_Gobierno_TI!F8</f>
        <v>0.83499999999999996</v>
      </c>
      <c r="E23" s="12">
        <f>Resumen_Gobierno_TI!G8</f>
        <v>0.83099999999999996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>
      <c r="A24" s="10" t="str">
        <f>Resumen_Gobierno_TI!A9</f>
        <v>Agosto</v>
      </c>
      <c r="B24" s="11">
        <f>Resumen_Gobierno_TI!D9</f>
        <v>3.38</v>
      </c>
      <c r="C24" s="12">
        <f>Resumen_Gobierno_TI!E9</f>
        <v>0.86599999999999999</v>
      </c>
      <c r="D24" s="12">
        <f>Resumen_Gobierno_TI!F9</f>
        <v>0.84799999999999998</v>
      </c>
      <c r="E24" s="12">
        <f>Resumen_Gobierno_TI!G9</f>
        <v>0.84199999999999997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>
      <c r="A25" s="10" t="str">
        <f>Resumen_Gobierno_TI!A10</f>
        <v>Septiembre</v>
      </c>
      <c r="B25" s="11">
        <f>Resumen_Gobierno_TI!D10</f>
        <v>3.46</v>
      </c>
      <c r="C25" s="12">
        <f>Resumen_Gobierno_TI!E10</f>
        <v>0.88100000000000001</v>
      </c>
      <c r="D25" s="12">
        <f>Resumen_Gobierno_TI!F10</f>
        <v>0.86199999999999999</v>
      </c>
      <c r="E25" s="12">
        <f>Resumen_Gobierno_TI!G10</f>
        <v>0.85399999999999998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>
      <c r="A26" s="10" t="str">
        <f>Resumen_Gobierno_TI!A11</f>
        <v>Octubre</v>
      </c>
      <c r="B26" s="11">
        <f>Resumen_Gobierno_TI!D11</f>
        <v>3.55</v>
      </c>
      <c r="C26" s="12">
        <f>Resumen_Gobierno_TI!E11</f>
        <v>0.89600000000000002</v>
      </c>
      <c r="D26" s="12">
        <f>Resumen_Gobierno_TI!F11</f>
        <v>0.877</v>
      </c>
      <c r="E26" s="12">
        <f>Resumen_Gobierno_TI!G11</f>
        <v>0.86599999999999999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>
      <c r="A27" s="10" t="str">
        <f>Resumen_Gobierno_TI!A12</f>
        <v>Noviembre</v>
      </c>
      <c r="B27" s="11">
        <f>Resumen_Gobierno_TI!D12</f>
        <v>3.63</v>
      </c>
      <c r="C27" s="12">
        <f>Resumen_Gobierno_TI!E12</f>
        <v>0.91800000000000004</v>
      </c>
      <c r="D27" s="12">
        <f>Resumen_Gobierno_TI!F12</f>
        <v>0.89500000000000002</v>
      </c>
      <c r="E27" s="12">
        <f>Resumen_Gobierno_TI!G12</f>
        <v>0.879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>
      <c r="A28" s="10" t="str">
        <f>Resumen_Gobierno_TI!A13</f>
        <v>Diciembre</v>
      </c>
      <c r="B28" s="11">
        <f>Resumen_Gobierno_TI!D13</f>
        <v>3.72</v>
      </c>
      <c r="C28" s="12">
        <f>Resumen_Gobierno_TI!E13</f>
        <v>0.93400000000000005</v>
      </c>
      <c r="D28" s="12">
        <f>Resumen_Gobierno_TI!F13</f>
        <v>0.91200000000000003</v>
      </c>
      <c r="E28" s="12">
        <f>Resumen_Gobierno_TI!G13</f>
        <v>0.89100000000000001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.75">
      <c r="A31" s="21" t="s">
        <v>674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1:14">
      <c r="A32" s="22" t="s">
        <v>675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spans="1:14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spans="1:1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</row>
    <row r="35" spans="1:14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</row>
  </sheetData>
  <mergeCells count="20">
    <mergeCell ref="J10:L10"/>
    <mergeCell ref="J11:L13"/>
    <mergeCell ref="A31:N31"/>
    <mergeCell ref="A32:N35"/>
    <mergeCell ref="A10:C10"/>
    <mergeCell ref="A11:C13"/>
    <mergeCell ref="D10:F10"/>
    <mergeCell ref="D11:F13"/>
    <mergeCell ref="G10:I10"/>
    <mergeCell ref="G11:I13"/>
    <mergeCell ref="A1:N2"/>
    <mergeCell ref="A3:N3"/>
    <mergeCell ref="A5:C5"/>
    <mergeCell ref="A6:C8"/>
    <mergeCell ref="D5:F5"/>
    <mergeCell ref="D6:F8"/>
    <mergeCell ref="G5:I5"/>
    <mergeCell ref="G6:I8"/>
    <mergeCell ref="J5:L5"/>
    <mergeCell ref="J6:L8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Resumen_Gobierno_TI</vt:lpstr>
      <vt:lpstr>Riesgos_TI</vt:lpstr>
      <vt:lpstr>Incidentes_Servicios_TI</vt:lpstr>
      <vt:lpstr>Auditorias_TI</vt:lpstr>
      <vt:lpstr>Disponibilidad_Sistemas</vt:lpstr>
      <vt:lpstr>Proyectos_TI</vt:lpstr>
      <vt:lpstr>Indicadores_KPI</vt:lpstr>
      <vt:lpstr>Diccionario_Datos</vt:lpstr>
      <vt:lpstr>Recomendaciones_Dashboard</vt:lpstr>
      <vt:lpstr>Vista_Ejecutiva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Dennis Coello Medina</cp:lastModifiedBy>
  <dcterms:modified xsi:type="dcterms:W3CDTF">2026-06-30T15:27:59Z</dcterms:modified>
</cp:coreProperties>
</file>